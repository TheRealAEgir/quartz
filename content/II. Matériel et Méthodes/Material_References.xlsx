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53234\Documents\Thesis_bibliography\Obsidian\II. Matériel et Méthodes\"/>
    </mc:Choice>
  </mc:AlternateContent>
  <xr:revisionPtr revIDLastSave="0" documentId="13_ncr:1_{A414AB5D-4C34-4548-9526-D64AEC738DB8}" xr6:coauthVersionLast="47" xr6:coauthVersionMax="47" xr10:uidLastSave="{00000000-0000-0000-0000-000000000000}"/>
  <bookViews>
    <workbookView xWindow="-108" yWindow="-108" windowWidth="23256" windowHeight="12456" activeTab="1" xr2:uid="{4175208D-DAB1-409E-9244-566CABAD0644}"/>
  </bookViews>
  <sheets>
    <sheet name="Antibodies" sheetId="2" r:id="rId1"/>
    <sheet name="Others" sheetId="3" r:id="rId2"/>
    <sheet name="Non-STAR" sheetId="6" r:id="rId3"/>
    <sheet name="MISS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3" i="2" l="1"/>
  <c r="A16" i="2"/>
  <c r="A85" i="2"/>
  <c r="A64" i="2"/>
  <c r="A24" i="2"/>
  <c r="A69" i="2"/>
  <c r="A68" i="2"/>
  <c r="A71" i="2"/>
  <c r="A87" i="2"/>
  <c r="A88" i="2"/>
  <c r="A78" i="2"/>
  <c r="A57" i="2"/>
  <c r="A56" i="2"/>
  <c r="A77" i="2"/>
  <c r="A76" i="2"/>
  <c r="A74" i="2"/>
  <c r="A60" i="2"/>
  <c r="A63" i="2"/>
  <c r="A81" i="2"/>
  <c r="A75" i="2"/>
  <c r="A42" i="2"/>
  <c r="A49" i="2"/>
  <c r="A50" i="2"/>
  <c r="A89" i="2"/>
  <c r="A83" i="2"/>
  <c r="A17" i="2"/>
  <c r="A18" i="2"/>
  <c r="A4" i="2"/>
  <c r="A3" i="2"/>
  <c r="A33" i="2"/>
  <c r="A36" i="2"/>
  <c r="A86" i="2"/>
  <c r="A47" i="2"/>
  <c r="A48" i="2"/>
  <c r="A52" i="2"/>
  <c r="A53" i="2"/>
  <c r="A80" i="2"/>
  <c r="A55" i="2"/>
  <c r="A84" i="2"/>
  <c r="A8" i="2"/>
  <c r="A9" i="2"/>
  <c r="A34" i="2"/>
  <c r="A46" i="2"/>
  <c r="A19" i="2"/>
  <c r="A21" i="2"/>
  <c r="A23" i="2"/>
  <c r="A20" i="2"/>
  <c r="A22" i="2"/>
  <c r="A66" i="2"/>
  <c r="A65" i="2"/>
  <c r="A67" i="2"/>
  <c r="A28" i="2"/>
  <c r="A30" i="2"/>
  <c r="A29" i="2"/>
  <c r="A27" i="2"/>
  <c r="A72" i="2"/>
  <c r="A5" i="2"/>
  <c r="A7" i="2"/>
  <c r="A6" i="2"/>
  <c r="A32" i="2"/>
  <c r="A31" i="2"/>
  <c r="A79" i="2"/>
  <c r="A44" i="2"/>
  <c r="A43" i="2"/>
  <c r="A45" i="2"/>
  <c r="A90" i="2"/>
  <c r="A37" i="2"/>
  <c r="A38" i="2"/>
  <c r="A51" i="2"/>
  <c r="A25" i="2"/>
  <c r="A82" i="2"/>
  <c r="A70" i="2"/>
  <c r="A59" i="2"/>
  <c r="A58" i="2"/>
  <c r="A10" i="2"/>
  <c r="A61" i="2"/>
  <c r="A12" i="2"/>
  <c r="A62" i="2"/>
  <c r="A14" i="2"/>
  <c r="A15" i="2"/>
  <c r="A13" i="2"/>
  <c r="A26" i="2"/>
  <c r="A39" i="2"/>
  <c r="A40" i="2"/>
  <c r="A41" i="2"/>
  <c r="C76" i="2"/>
  <c r="C84" i="2"/>
  <c r="C8" i="2"/>
  <c r="C20" i="2"/>
  <c r="C22" i="2"/>
  <c r="C66" i="2"/>
  <c r="C65" i="2"/>
  <c r="C67" i="2"/>
  <c r="C7" i="2"/>
  <c r="C6" i="2"/>
  <c r="C44" i="2"/>
  <c r="C43" i="2"/>
  <c r="C45" i="2"/>
  <c r="C90" i="2"/>
  <c r="C59" i="2"/>
  <c r="C58" i="2"/>
  <c r="C10" i="2"/>
  <c r="C15" i="2"/>
  <c r="C13" i="2"/>
  <c r="G7" i="2"/>
  <c r="G53" i="2"/>
  <c r="C53" i="2" s="1"/>
  <c r="G74" i="2"/>
  <c r="C74" i="2" s="1"/>
  <c r="G60" i="2"/>
  <c r="C60" i="2" s="1"/>
  <c r="G63" i="2"/>
  <c r="C63" i="2" s="1"/>
  <c r="G81" i="2"/>
  <c r="C81" i="2" s="1"/>
  <c r="G75" i="2"/>
  <c r="C75" i="2" s="1"/>
  <c r="G42" i="2"/>
  <c r="C42" i="2" s="1"/>
  <c r="G49" i="2"/>
  <c r="C49" i="2" s="1"/>
  <c r="G50" i="2"/>
  <c r="C50" i="2" s="1"/>
  <c r="G89" i="2"/>
  <c r="C89" i="2" s="1"/>
  <c r="G83" i="2"/>
  <c r="C83" i="2" s="1"/>
  <c r="G17" i="2"/>
  <c r="C17" i="2" s="1"/>
  <c r="G18" i="2"/>
  <c r="C18" i="2" s="1"/>
  <c r="G4" i="2"/>
  <c r="C4" i="2" s="1"/>
  <c r="G3" i="2"/>
  <c r="C3" i="2" s="1"/>
  <c r="G33" i="2"/>
  <c r="C33" i="2" s="1"/>
  <c r="G36" i="2"/>
  <c r="C36" i="2" s="1"/>
  <c r="G86" i="2"/>
  <c r="C86" i="2" s="1"/>
  <c r="G47" i="2"/>
  <c r="C47" i="2" s="1"/>
  <c r="G48" i="2"/>
  <c r="C48" i="2" s="1"/>
  <c r="G52" i="2"/>
  <c r="C52" i="2" s="1"/>
  <c r="G80" i="2"/>
  <c r="C80" i="2" s="1"/>
  <c r="G55" i="2"/>
  <c r="C55" i="2" s="1"/>
  <c r="G84" i="2"/>
  <c r="G8" i="2"/>
  <c r="G9" i="2"/>
  <c r="C9" i="2" s="1"/>
  <c r="G34" i="2"/>
  <c r="C34" i="2" s="1"/>
  <c r="G46" i="2"/>
  <c r="C46" i="2" s="1"/>
  <c r="G19" i="2"/>
  <c r="C19" i="2" s="1"/>
  <c r="G21" i="2"/>
  <c r="C21" i="2" s="1"/>
  <c r="G23" i="2"/>
  <c r="C23" i="2" s="1"/>
  <c r="G20" i="2"/>
  <c r="G22" i="2"/>
  <c r="G66" i="2"/>
  <c r="G65" i="2"/>
  <c r="G67" i="2"/>
  <c r="G28" i="2"/>
  <c r="C28" i="2" s="1"/>
  <c r="G30" i="2"/>
  <c r="C30" i="2" s="1"/>
  <c r="G29" i="2"/>
  <c r="C29" i="2" s="1"/>
  <c r="G27" i="2"/>
  <c r="C27" i="2" s="1"/>
  <c r="G72" i="2"/>
  <c r="C72" i="2" s="1"/>
  <c r="G5" i="2"/>
  <c r="C5" i="2" s="1"/>
  <c r="G32" i="2"/>
  <c r="C32" i="2" s="1"/>
  <c r="G31" i="2"/>
  <c r="C31" i="2" s="1"/>
  <c r="G79" i="2"/>
  <c r="C79" i="2" s="1"/>
  <c r="G44" i="2"/>
  <c r="G43" i="2"/>
  <c r="G45" i="2"/>
  <c r="G37" i="2"/>
  <c r="C37" i="2" s="1"/>
  <c r="G38" i="2"/>
  <c r="C38" i="2" s="1"/>
  <c r="G51" i="2"/>
  <c r="C51" i="2" s="1"/>
  <c r="G25" i="2"/>
  <c r="C25" i="2" s="1"/>
  <c r="G82" i="2"/>
  <c r="C82" i="2" s="1"/>
  <c r="G70" i="2"/>
  <c r="C70" i="2" s="1"/>
  <c r="G59" i="2"/>
  <c r="G58" i="2"/>
  <c r="G10" i="2"/>
  <c r="G61" i="2"/>
  <c r="C61" i="2" s="1"/>
  <c r="G12" i="2"/>
  <c r="C12" i="2" s="1"/>
  <c r="G62" i="2"/>
  <c r="C62" i="2" s="1"/>
  <c r="G14" i="2"/>
  <c r="C14" i="2" s="1"/>
  <c r="G15" i="2"/>
  <c r="G13" i="2"/>
  <c r="G26" i="2"/>
  <c r="C26" i="2" s="1"/>
  <c r="G39" i="2"/>
  <c r="C39" i="2" s="1"/>
  <c r="G40" i="2"/>
  <c r="C40" i="2" s="1"/>
  <c r="G41" i="2"/>
  <c r="C41" i="2" s="1"/>
  <c r="A2" i="2"/>
  <c r="A35" i="2"/>
  <c r="A11" i="2"/>
  <c r="A54" i="2"/>
  <c r="G2" i="2"/>
  <c r="C2" i="2" s="1"/>
  <c r="G35" i="2"/>
  <c r="C35" i="2" s="1"/>
  <c r="G11" i="2"/>
  <c r="C11" i="2" s="1"/>
  <c r="G73" i="2"/>
  <c r="C73" i="2" s="1"/>
  <c r="G16" i="2"/>
  <c r="C16" i="2" s="1"/>
  <c r="G85" i="2"/>
  <c r="C85" i="2" s="1"/>
  <c r="G64" i="2"/>
  <c r="C64" i="2" s="1"/>
  <c r="G24" i="2"/>
  <c r="C24" i="2" s="1"/>
  <c r="G69" i="2"/>
  <c r="C69" i="2" s="1"/>
  <c r="G68" i="2"/>
  <c r="C68" i="2" s="1"/>
  <c r="G71" i="2"/>
  <c r="C71" i="2" s="1"/>
  <c r="G87" i="2"/>
  <c r="C87" i="2" s="1"/>
  <c r="G88" i="2"/>
  <c r="C88" i="2" s="1"/>
  <c r="G78" i="2"/>
  <c r="C78" i="2" s="1"/>
  <c r="G57" i="2"/>
  <c r="C57" i="2" s="1"/>
  <c r="G56" i="2"/>
  <c r="C56" i="2" s="1"/>
  <c r="G77" i="2"/>
  <c r="C77" i="2" s="1"/>
  <c r="G54" i="2"/>
  <c r="C54" i="2" s="1"/>
</calcChain>
</file>

<file path=xl/sharedStrings.xml><?xml version="1.0" encoding="utf-8"?>
<sst xmlns="http://schemas.openxmlformats.org/spreadsheetml/2006/main" count="1143" uniqueCount="579">
  <si>
    <t>BD</t>
  </si>
  <si>
    <t>Sigma-Aldrich</t>
  </si>
  <si>
    <t>Transcription Factor Buffer Set</t>
  </si>
  <si>
    <t>BioLegend</t>
  </si>
  <si>
    <t>CD3</t>
  </si>
  <si>
    <t>BB700</t>
  </si>
  <si>
    <t>PE</t>
  </si>
  <si>
    <t>Diaclone</t>
  </si>
  <si>
    <t>CD8</t>
  </si>
  <si>
    <t>Bv510</t>
  </si>
  <si>
    <t>FITC</t>
  </si>
  <si>
    <t>CD69</t>
  </si>
  <si>
    <t>CD103</t>
  </si>
  <si>
    <t>CXCR6</t>
  </si>
  <si>
    <t>PD1</t>
  </si>
  <si>
    <t>A700</t>
  </si>
  <si>
    <t>IFNγ</t>
  </si>
  <si>
    <t>TNFα</t>
  </si>
  <si>
    <t>APC</t>
  </si>
  <si>
    <t>T-bet</t>
  </si>
  <si>
    <t>PeCy7</t>
  </si>
  <si>
    <t>Bv785</t>
  </si>
  <si>
    <t>Bv605</t>
  </si>
  <si>
    <t>IL2</t>
  </si>
  <si>
    <t>Bv421</t>
  </si>
  <si>
    <t>CD62L</t>
  </si>
  <si>
    <t>Bv650</t>
  </si>
  <si>
    <t>CD28</t>
  </si>
  <si>
    <t>Ki67</t>
  </si>
  <si>
    <t>A488</t>
  </si>
  <si>
    <t>KLRG1</t>
  </si>
  <si>
    <t>4-1BB</t>
  </si>
  <si>
    <t>PED</t>
  </si>
  <si>
    <t>CD41</t>
  </si>
  <si>
    <t>CD51</t>
  </si>
  <si>
    <t>CD61</t>
  </si>
  <si>
    <t>PB</t>
  </si>
  <si>
    <t>A647</t>
  </si>
  <si>
    <t>CD51/CD61</t>
  </si>
  <si>
    <t>ICOS</t>
  </si>
  <si>
    <t>CD27</t>
  </si>
  <si>
    <t>TCF1</t>
  </si>
  <si>
    <t>ID3</t>
  </si>
  <si>
    <t>CD107a</t>
  </si>
  <si>
    <t>Eomes</t>
  </si>
  <si>
    <t>CD49a</t>
  </si>
  <si>
    <t>TOX</t>
  </si>
  <si>
    <t>Thermofisher</t>
  </si>
  <si>
    <t>TIM3</t>
  </si>
  <si>
    <t>CD127</t>
  </si>
  <si>
    <t>TIGIT</t>
  </si>
  <si>
    <t>TCR Vδ2</t>
  </si>
  <si>
    <t>TCR α/β</t>
  </si>
  <si>
    <t>CCR7</t>
  </si>
  <si>
    <t>CD45RA</t>
  </si>
  <si>
    <t>Granzyme B</t>
  </si>
  <si>
    <t>BACH2</t>
  </si>
  <si>
    <t>LAG3</t>
  </si>
  <si>
    <t>CD25</t>
  </si>
  <si>
    <t>Bv711</t>
  </si>
  <si>
    <t>SONY</t>
  </si>
  <si>
    <t>CD4</t>
  </si>
  <si>
    <t>R&amp;D Systems</t>
  </si>
  <si>
    <t>PerCP5.5</t>
  </si>
  <si>
    <t>CD101</t>
  </si>
  <si>
    <t>CD226</t>
  </si>
  <si>
    <t>CD39</t>
  </si>
  <si>
    <t>CXCR5</t>
  </si>
  <si>
    <t>CCR6</t>
  </si>
  <si>
    <t>CCR4</t>
  </si>
  <si>
    <t>CXCR3</t>
  </si>
  <si>
    <t>FOXP3</t>
  </si>
  <si>
    <t>Perforine</t>
  </si>
  <si>
    <t>Bv786</t>
  </si>
  <si>
    <t>CD7</t>
  </si>
  <si>
    <t>BLIMP-1</t>
  </si>
  <si>
    <t>NOTCH3</t>
  </si>
  <si>
    <t>CD38</t>
  </si>
  <si>
    <t>OX40</t>
  </si>
  <si>
    <t>CD86</t>
  </si>
  <si>
    <t>CD57</t>
  </si>
  <si>
    <t>CD95</t>
  </si>
  <si>
    <t>CD14</t>
  </si>
  <si>
    <t>CD33</t>
  </si>
  <si>
    <t>GPR15</t>
  </si>
  <si>
    <t>Microplaque Nunclon™ Sphera™</t>
  </si>
  <si>
    <t>ThermoFisher</t>
  </si>
  <si>
    <t>Don</t>
  </si>
  <si>
    <t>EFS</t>
  </si>
  <si>
    <t>PBS</t>
  </si>
  <si>
    <t>Dutscher</t>
  </si>
  <si>
    <t>Gibco™</t>
  </si>
  <si>
    <t>Sérum humain</t>
  </si>
  <si>
    <t>Penicillin/Streptomycin</t>
  </si>
  <si>
    <t>Eurobio scientific</t>
  </si>
  <si>
    <t>Eurobio Scientific</t>
  </si>
  <si>
    <t>Miltenyi</t>
  </si>
  <si>
    <t xml:space="preserve">Beckman Coulter </t>
  </si>
  <si>
    <t>DxFLEX</t>
  </si>
  <si>
    <t>NA</t>
  </si>
  <si>
    <t>CytoFLEX LX</t>
  </si>
  <si>
    <t>FACSLyric™</t>
  </si>
  <si>
    <t>ITHER-CHC</t>
  </si>
  <si>
    <t>CRC-01</t>
  </si>
  <si>
    <t>CRC-02</t>
  </si>
  <si>
    <t>NIPICOL</t>
  </si>
  <si>
    <t>NIPISAFE</t>
  </si>
  <si>
    <t>HORIZON</t>
  </si>
  <si>
    <t>Reprogram</t>
  </si>
  <si>
    <t>Pancreas CGE</t>
  </si>
  <si>
    <t>Medical Gmbh</t>
  </si>
  <si>
    <t>Dynabeads™</t>
  </si>
  <si>
    <t>CytoFLEX SRT</t>
  </si>
  <si>
    <t>Cytomètre</t>
  </si>
  <si>
    <t>Cytomètre trieur</t>
  </si>
  <si>
    <t>Incucyte®</t>
  </si>
  <si>
    <t>Sartorius</t>
  </si>
  <si>
    <t>Miscrocope en temps réel</t>
  </si>
  <si>
    <t>Epitopes-CRC02</t>
  </si>
  <si>
    <t>NCT02817178</t>
  </si>
  <si>
    <t>CHU Besançon</t>
  </si>
  <si>
    <t>To be defined</t>
  </si>
  <si>
    <t>Antibodies</t>
  </si>
  <si>
    <t>REAGENT or RESOURCE</t>
  </si>
  <si>
    <t>IDENTIFIER</t>
  </si>
  <si>
    <t>SOURCE</t>
  </si>
  <si>
    <t>TYPE</t>
  </si>
  <si>
    <t xml:space="preserve">Cat#309804; </t>
  </si>
  <si>
    <t xml:space="preserve">Cat#309826; </t>
  </si>
  <si>
    <t xml:space="preserve">Cat#563832; </t>
  </si>
  <si>
    <t xml:space="preserve">Cat#338314; </t>
  </si>
  <si>
    <t xml:space="preserve">Cat#343104; </t>
  </si>
  <si>
    <t xml:space="preserve">Cat#555459; </t>
  </si>
  <si>
    <t xml:space="preserve">Cat#334322; </t>
  </si>
  <si>
    <t xml:space="preserve">Cat#303714; </t>
  </si>
  <si>
    <t xml:space="preserve">Cat#550855; </t>
  </si>
  <si>
    <t xml:space="preserve">Cat#327910; </t>
  </si>
  <si>
    <t xml:space="preserve">Cat#304408; </t>
  </si>
  <si>
    <t xml:space="preserve">Cat#336408; </t>
  </si>
  <si>
    <t xml:space="preserve">Cat#331414; </t>
  </si>
  <si>
    <t xml:space="preserve">Cat#306706; </t>
  </si>
  <si>
    <t xml:space="preserve">Cat#566469; </t>
  </si>
  <si>
    <t xml:space="preserve">Cat#562515; </t>
  </si>
  <si>
    <t xml:space="preserve">Cat#557864; </t>
  </si>
  <si>
    <t xml:space="preserve">Cat#353706; </t>
  </si>
  <si>
    <t xml:space="preserve">Cat#; </t>
  </si>
  <si>
    <t xml:space="preserve">Cat#305406; </t>
  </si>
  <si>
    <t xml:space="preserve">Cat#564054; </t>
  </si>
  <si>
    <t xml:space="preserve">Cat#563257; </t>
  </si>
  <si>
    <t xml:space="preserve">Cat#2465020; </t>
  </si>
  <si>
    <t xml:space="preserve">Cat#566542; </t>
  </si>
  <si>
    <t xml:space="preserve">Cat#369316; </t>
  </si>
  <si>
    <t xml:space="preserve">Cat#570378; </t>
  </si>
  <si>
    <t xml:space="preserve">Cat#345008; </t>
  </si>
  <si>
    <t xml:space="preserve">Cat#2446600; </t>
  </si>
  <si>
    <t xml:space="preserve">Cat#328236; </t>
  </si>
  <si>
    <t xml:space="preserve">Cat#328224; </t>
  </si>
  <si>
    <t xml:space="preserve">Cat#331014; </t>
  </si>
  <si>
    <t xml:space="preserve">Cat#695604; </t>
  </si>
  <si>
    <t xml:space="preserve">Cat#567169; </t>
  </si>
  <si>
    <t xml:space="preserve">Cat#564564; </t>
  </si>
  <si>
    <t xml:space="preserve">Cat#561265; </t>
  </si>
  <si>
    <t xml:space="preserve">Cat#655204; </t>
  </si>
  <si>
    <t xml:space="preserve">Cat#655208; </t>
  </si>
  <si>
    <t xml:space="preserve">Cat#569896; </t>
  </si>
  <si>
    <t xml:space="preserve">Cat#568356; </t>
  </si>
  <si>
    <t xml:space="preserve">Cat#560046; </t>
  </si>
  <si>
    <t xml:space="preserve">Cat#564702; </t>
  </si>
  <si>
    <t xml:space="preserve">Cat#345410; </t>
  </si>
  <si>
    <t xml:space="preserve">Cat#852.901.010; </t>
  </si>
  <si>
    <t xml:space="preserve">Cat#555801; </t>
  </si>
  <si>
    <t xml:space="preserve">Cat#515406; </t>
  </si>
  <si>
    <t xml:space="preserve">Cat#308106; </t>
  </si>
  <si>
    <t xml:space="preserve">Cat#566818; </t>
  </si>
  <si>
    <t xml:space="preserve">Cat#558117; </t>
  </si>
  <si>
    <t xml:space="preserve">Cat#300441; </t>
  </si>
  <si>
    <t xml:space="preserve">Cat#2102320; </t>
  </si>
  <si>
    <t xml:space="preserve">Cat#854.962.010; </t>
  </si>
  <si>
    <t xml:space="preserve">Cat#954.031.010; </t>
  </si>
  <si>
    <t xml:space="preserve">Cat#555349; </t>
  </si>
  <si>
    <t xml:space="preserve">Cat#317428; </t>
  </si>
  <si>
    <t xml:space="preserve">Cat#344732; </t>
  </si>
  <si>
    <t xml:space="preserve">Cat#301050; </t>
  </si>
  <si>
    <t xml:space="preserve">Cat#854.961.010; </t>
  </si>
  <si>
    <t xml:space="preserve">Cat#310922; </t>
  </si>
  <si>
    <t xml:space="preserve">Cat#310904; </t>
  </si>
  <si>
    <t xml:space="preserve">Cat#350218; </t>
  </si>
  <si>
    <t xml:space="preserve">Cat#12-1038-42; </t>
  </si>
  <si>
    <t xml:space="preserve">Cat#356012; </t>
  </si>
  <si>
    <t xml:space="preserve">Cat#356006; </t>
  </si>
  <si>
    <t xml:space="preserve">Cat#356008; </t>
  </si>
  <si>
    <t xml:space="preserve">Cat#329930; </t>
  </si>
  <si>
    <t xml:space="preserve">Cat#563076; </t>
  </si>
  <si>
    <t xml:space="preserve">Cat#561272; </t>
  </si>
  <si>
    <t xml:space="preserve">Cat#554702; </t>
  </si>
  <si>
    <t xml:space="preserve">Cat#500328; </t>
  </si>
  <si>
    <t xml:space="preserve">Cat#554512; </t>
  </si>
  <si>
    <t xml:space="preserve">Cat#742357; </t>
  </si>
  <si>
    <t xml:space="preserve">Cat#568266; </t>
  </si>
  <si>
    <t xml:space="preserve">Cat#359620; </t>
  </si>
  <si>
    <t xml:space="preserve">Cat#353216; </t>
  </si>
  <si>
    <t xml:space="preserve">Cat#FAB197F; </t>
  </si>
  <si>
    <t xml:space="preserve">Cat#351310; </t>
  </si>
  <si>
    <t xml:space="preserve">Cat#302612; </t>
  </si>
  <si>
    <t xml:space="preserve">Cat#356404; </t>
  </si>
  <si>
    <t xml:space="preserve">Cat#302920; </t>
  </si>
  <si>
    <t xml:space="preserve">Cat#302946; </t>
  </si>
  <si>
    <t xml:space="preserve">Cat#302942; </t>
  </si>
  <si>
    <t xml:space="preserve">Cat#302912; </t>
  </si>
  <si>
    <t xml:space="preserve">Cat#304832; </t>
  </si>
  <si>
    <t xml:space="preserve">Cat#571536; </t>
  </si>
  <si>
    <t xml:space="preserve">Cat#563462; </t>
  </si>
  <si>
    <t xml:space="preserve">Cat#563756; </t>
  </si>
  <si>
    <t>RRID</t>
  </si>
  <si>
    <t>Link</t>
  </si>
  <si>
    <t>https://www.antibodyregistry.org/AB_314783</t>
  </si>
  <si>
    <t>https://www.antibodyregistry.org/AB_2566260</t>
  </si>
  <si>
    <t>https://www.antibodyregistry.org/AB_2738439</t>
  </si>
  <si>
    <t>https://www.antibodyregistry.org/AB_2566597</t>
  </si>
  <si>
    <t>https://www.antibodyregistry.org/AB_1659216</t>
  </si>
  <si>
    <t>https://www.antibodyregistry.org/AB_395852</t>
  </si>
  <si>
    <t>https://www.antibodyregistry.org/AB_10645472</t>
  </si>
  <si>
    <t>https://www.antibodyregistry.org/AB_10696421</t>
  </si>
  <si>
    <t>https://www.antibodyregistry.org/AB_398468</t>
  </si>
  <si>
    <t>https://www.antibodyregistry.org/AB_940564</t>
  </si>
  <si>
    <t>https://www.antibodyregistry.org/AB_528843</t>
  </si>
  <si>
    <t>https://www.antibodyregistry.org/AB_2128750</t>
  </si>
  <si>
    <t>https://www.antibodyregistry.org/AB_2687083</t>
  </si>
  <si>
    <t>https://www.antibodyregistry.org/AB_314644</t>
  </si>
  <si>
    <t>https://www.antibodyregistry.org/AB_2869769</t>
  </si>
  <si>
    <t>https://www.antibodyregistry.org/AB_11154229</t>
  </si>
  <si>
    <t>https://www.antibodyregistry.org/AB_396907</t>
  </si>
  <si>
    <t>https://www.antibodyregistry.org/AB_10962912</t>
  </si>
  <si>
    <t>AB_314783</t>
  </si>
  <si>
    <t>AB_2566260</t>
  </si>
  <si>
    <t>AB_2738439</t>
  </si>
  <si>
    <t>AB_2566597</t>
  </si>
  <si>
    <t>AB_1659216</t>
  </si>
  <si>
    <t>AB_395852</t>
  </si>
  <si>
    <t>AB_10645472</t>
  </si>
  <si>
    <t>AB_10696421</t>
  </si>
  <si>
    <t>AB_398468</t>
  </si>
  <si>
    <t>AB_940564</t>
  </si>
  <si>
    <t>AB_528843</t>
  </si>
  <si>
    <t>AB_2128750</t>
  </si>
  <si>
    <t>AB_2687083</t>
  </si>
  <si>
    <t>AB_314644</t>
  </si>
  <si>
    <t>AB_2869769</t>
  </si>
  <si>
    <t>AB_11154229</t>
  </si>
  <si>
    <t>AB_396907</t>
  </si>
  <si>
    <t>AB_10962912</t>
  </si>
  <si>
    <t>Modified link</t>
  </si>
  <si>
    <t>CATALOGUE REFERENCE</t>
  </si>
  <si>
    <t>Fluorochrome</t>
  </si>
  <si>
    <t>Clone</t>
  </si>
  <si>
    <t>TARGET</t>
  </si>
  <si>
    <t>Clone 4B4-1</t>
  </si>
  <si>
    <t>Clone DX29</t>
  </si>
  <si>
    <t>Clone 11A8</t>
  </si>
  <si>
    <t>BD Biosciences</t>
  </si>
  <si>
    <t>Clone CD7-6B7</t>
  </si>
  <si>
    <t>Clone HIT2</t>
  </si>
  <si>
    <t>Clone 5C3</t>
  </si>
  <si>
    <t>Clone HIP8</t>
  </si>
  <si>
    <t>Clone HI100</t>
  </si>
  <si>
    <t>Clone NKI-M9</t>
  </si>
  <si>
    <t>Clone 23C6</t>
  </si>
  <si>
    <t>Clone VI-PL2</t>
  </si>
  <si>
    <t>Clone B6</t>
  </si>
  <si>
    <t>Clone IP26</t>
  </si>
  <si>
    <t>Clone RF8B2</t>
  </si>
  <si>
    <t>Clone 11A9</t>
  </si>
  <si>
    <t>Clone 1G1</t>
  </si>
  <si>
    <t>Clone G025H7</t>
  </si>
  <si>
    <t>Used in article</t>
  </si>
  <si>
    <t>No</t>
  </si>
  <si>
    <t>Yes</t>
  </si>
  <si>
    <t>To add</t>
  </si>
  <si>
    <t>Target</t>
  </si>
  <si>
    <t>Reference</t>
  </si>
  <si>
    <t>Cohort</t>
  </si>
  <si>
    <t>TIL</t>
  </si>
  <si>
    <t>HLA-DR</t>
  </si>
  <si>
    <t>AB_314526</t>
  </si>
  <si>
    <t>https://www.antibodyregistry.org/AB_314526</t>
  </si>
  <si>
    <t>AB_2687593</t>
  </si>
  <si>
    <t>https://www.antibodyregistry.org/AB_2687593</t>
  </si>
  <si>
    <t>AB_2738102</t>
  </si>
  <si>
    <t>https://www.antibodyregistry.org/AB_2738102</t>
  </si>
  <si>
    <t>not registered</t>
  </si>
  <si>
    <t>AB_2869780</t>
  </si>
  <si>
    <t>https://www.antibodyregistry.org/AB_2869780</t>
  </si>
  <si>
    <t>AB_2632951</t>
  </si>
  <si>
    <t>https://www.antibodyregistry.org/AB_2632951</t>
  </si>
  <si>
    <t>AB_3685699</t>
  </si>
  <si>
    <t>https://www.antibodyregistry.org/AB_3685699</t>
  </si>
  <si>
    <t>AB_11218598</t>
  </si>
  <si>
    <t>https://www.antibodyregistry.org/AB_11218598</t>
  </si>
  <si>
    <t>AB_2564319</t>
  </si>
  <si>
    <t>https://www.antibodyregistry.org/AB_2564319</t>
  </si>
  <si>
    <t>AB_2716109</t>
  </si>
  <si>
    <t>https://www.antibodyregistry.org/AB_2716109</t>
  </si>
  <si>
    <t>AB_2922645</t>
  </si>
  <si>
    <t>https://www.antibodyregistry.org/AB_2922645</t>
  </si>
  <si>
    <t>AB_2916486</t>
  </si>
  <si>
    <t>https://www.antibodyregistry.org/AB_2916486</t>
  </si>
  <si>
    <t>AB_2738846</t>
  </si>
  <si>
    <t>https://www.antibodyregistry.org/AB_2738846</t>
  </si>
  <si>
    <t>AB_10565980</t>
  </si>
  <si>
    <t>https://www.antibodyregistry.org/AB_10565980</t>
  </si>
  <si>
    <t>AB_2566620</t>
  </si>
  <si>
    <t>https://www.antibodyregistry.org/AB_2566620</t>
  </si>
  <si>
    <t>AB_2728492</t>
  </si>
  <si>
    <t>https://www.antibodyregistry.org/AB_2728492</t>
  </si>
  <si>
    <t>AB_3685396</t>
  </si>
  <si>
    <t>https://www.antibodyregistry.org/AB_3685396</t>
  </si>
  <si>
    <t>AB_3684207</t>
  </si>
  <si>
    <t>https://www.antibodyregistry.org/AB_3684207</t>
  </si>
  <si>
    <t>AB_1645508</t>
  </si>
  <si>
    <t>https://www.antibodyregistry.org/AB_1645508</t>
  </si>
  <si>
    <t>AB_2738901</t>
  </si>
  <si>
    <t>https://www.antibodyregistry.org/AB_2738901</t>
  </si>
  <si>
    <t>AB_2564483</t>
  </si>
  <si>
    <t>https://www.antibodyregistry.org/AB_2564483</t>
  </si>
  <si>
    <t>AB_396135</t>
  </si>
  <si>
    <t>https://www.antibodyregistry.org/AB_396135</t>
  </si>
  <si>
    <t>AB_2566333</t>
  </si>
  <si>
    <t>https://www.antibodyregistry.org/AB_2566333</t>
  </si>
  <si>
    <t>AB_314704</t>
  </si>
  <si>
    <t>https://www.antibodyregistry.org/AB_314704</t>
  </si>
  <si>
    <t>AB_2869885</t>
  </si>
  <si>
    <t>https://www.antibodyregistry.org/AB_2869885</t>
  </si>
  <si>
    <t>AB_397038</t>
  </si>
  <si>
    <t>https://www.antibodyregistry.org/AB_397038</t>
  </si>
  <si>
    <t>AB_2562047</t>
  </si>
  <si>
    <t>https://www.antibodyregistry.org/AB_2562047</t>
  </si>
  <si>
    <t>AB_398593</t>
  </si>
  <si>
    <t>https://www.antibodyregistry.org/AB_398593</t>
  </si>
  <si>
    <t>AB_1186122</t>
  </si>
  <si>
    <t>https://www.antibodyregistry.org/AB_1186122</t>
  </si>
  <si>
    <t>AB_2564624</t>
  </si>
  <si>
    <t>https://www.antibodyregistry.org/AB_2564624</t>
  </si>
  <si>
    <t>AB_2562055</t>
  </si>
  <si>
    <t>https://www.antibodyregistry.org/AB_2562055</t>
  </si>
  <si>
    <t>AB_493775</t>
  </si>
  <si>
    <t>https://www.antibodyregistry.org/AB_493775</t>
  </si>
  <si>
    <t>AB_314839</t>
  </si>
  <si>
    <t>https://www.antibodyregistry.org/AB_314839</t>
  </si>
  <si>
    <t>AB_2564283</t>
  </si>
  <si>
    <t>https://www.antibodyregistry.org/AB_2564283</t>
  </si>
  <si>
    <t>AB_11150242</t>
  </si>
  <si>
    <t>https://www.antibodyregistry.org/AB_11150242</t>
  </si>
  <si>
    <t>AB_2562315</t>
  </si>
  <si>
    <t>https://www.antibodyregistry.org/AB_2562315</t>
  </si>
  <si>
    <t>AB_2562223</t>
  </si>
  <si>
    <t>https://www.antibodyregistry.org/AB_2562223</t>
  </si>
  <si>
    <t>AB_2562225</t>
  </si>
  <si>
    <t>https://www.antibodyregistry.org/AB_2562225</t>
  </si>
  <si>
    <t>AB_2563443</t>
  </si>
  <si>
    <t>https://www.antibodyregistry.org/AB_2563443</t>
  </si>
  <si>
    <t>AB_2737990</t>
  </si>
  <si>
    <t>https://www.antibodyregistry.org/AB_2737990</t>
  </si>
  <si>
    <t>AB_10611585</t>
  </si>
  <si>
    <t>https://www.antibodyregistry.org/AB_10611585</t>
  </si>
  <si>
    <t>AB_398580</t>
  </si>
  <si>
    <t>https://www.antibodyregistry.org/AB_398580</t>
  </si>
  <si>
    <t>AB_10962947</t>
  </si>
  <si>
    <t>https://www.antibodyregistry.org/AB_10962947</t>
  </si>
  <si>
    <t>AB_395443</t>
  </si>
  <si>
    <t>https://www.antibodyregistry.org/AB_395443</t>
  </si>
  <si>
    <t>AB_2740715</t>
  </si>
  <si>
    <t>https://www.antibodyregistry.org/AB_2740715</t>
  </si>
  <si>
    <t>AB_2916863</t>
  </si>
  <si>
    <t>https://www.antibodyregistry.org/AB_2916863</t>
  </si>
  <si>
    <t>AB_2564063</t>
  </si>
  <si>
    <t>https://www.antibodyregistry.org/AB_2564063</t>
  </si>
  <si>
    <t>AB_10916386</t>
  </si>
  <si>
    <t>https://www.antibodyregistry.org/AB_10916386</t>
  </si>
  <si>
    <t>AB_2259847</t>
  </si>
  <si>
    <t>https://www.antibodyregistry.org/AB_2259847</t>
  </si>
  <si>
    <t>AB_10960140</t>
  </si>
  <si>
    <t>https://www.antibodyregistry.org/AB_10960140</t>
  </si>
  <si>
    <t>AB_314282</t>
  </si>
  <si>
    <t>https://www.antibodyregistry.org/AB_314282</t>
  </si>
  <si>
    <t>AB_2561788</t>
  </si>
  <si>
    <t>https://www.antibodyregistry.org/AB_2561788</t>
  </si>
  <si>
    <t>AB_528786</t>
  </si>
  <si>
    <t>https://www.antibodyregistry.org/AB_528786</t>
  </si>
  <si>
    <t>AB_2616855</t>
  </si>
  <si>
    <t>https://www.antibodyregistry.org/AB_2616855</t>
  </si>
  <si>
    <t>AB_2564234</t>
  </si>
  <si>
    <t>https://www.antibodyregistry.org/AB_2564234</t>
  </si>
  <si>
    <t>AB_314314</t>
  </si>
  <si>
    <t>https://www.antibodyregistry.org/AB_314314</t>
  </si>
  <si>
    <t>AB_2563821</t>
  </si>
  <si>
    <t>https://www.antibodyregistry.org/AB_2563821</t>
  </si>
  <si>
    <t>https://www.antibodyregistry.org/AB_3686579</t>
  </si>
  <si>
    <t>AB_2738221</t>
  </si>
  <si>
    <t>https://www.antibodyregistry.org/AB_2738221</t>
  </si>
  <si>
    <t>AB_2732007</t>
  </si>
  <si>
    <t>https://www.antibodyregistry.org/AB_2732007</t>
  </si>
  <si>
    <t>Clone IT2.2</t>
  </si>
  <si>
    <t>Clone M5E2</t>
  </si>
  <si>
    <t>Clone WM53</t>
  </si>
  <si>
    <t>Clone SA302A10</t>
  </si>
  <si>
    <t>Clone DX2</t>
  </si>
  <si>
    <t>Clone 11C3C65</t>
  </si>
  <si>
    <t>Clone F38-2E2</t>
  </si>
  <si>
    <t>Clone TgMab-2</t>
  </si>
  <si>
    <t xml:space="preserve">Cat#345016; </t>
  </si>
  <si>
    <t>https://www.antibodyregistry.org/AB_2561934</t>
  </si>
  <si>
    <t>AB_2561934</t>
  </si>
  <si>
    <t>Clone A1</t>
  </si>
  <si>
    <t>Clone BB27</t>
  </si>
  <si>
    <t>Clone 16B10B53</t>
  </si>
  <si>
    <t>Clone X4-83</t>
  </si>
  <si>
    <t>Clone S30-778</t>
  </si>
  <si>
    <t>Clone 4B10</t>
  </si>
  <si>
    <t>Clone 7F11A10</t>
  </si>
  <si>
    <t>Clone NAN448B</t>
  </si>
  <si>
    <t>yes</t>
  </si>
  <si>
    <t>Clone 259D/C7</t>
  </si>
  <si>
    <t>Clone 6D3</t>
  </si>
  <si>
    <t>Clone MHN3-21</t>
  </si>
  <si>
    <t>Clone H4A3</t>
  </si>
  <si>
    <t>Clone GB11</t>
  </si>
  <si>
    <t>Clone dG9</t>
  </si>
  <si>
    <t>Clone OKT3</t>
  </si>
  <si>
    <t>Clone UCHT1</t>
  </si>
  <si>
    <t>Clone RPA-T4</t>
  </si>
  <si>
    <t>Clone OKT4</t>
  </si>
  <si>
    <t>Clone SK1</t>
  </si>
  <si>
    <t>Clone RPA-T8</t>
  </si>
  <si>
    <t>Clone FN50</t>
  </si>
  <si>
    <t>Clone Ber-ACT8</t>
  </si>
  <si>
    <t>Clone B-Ly7</t>
  </si>
  <si>
    <t>Clone K041E5</t>
  </si>
  <si>
    <t>Clone EH12.2H7</t>
  </si>
  <si>
    <t>Clone EH12.1</t>
  </si>
  <si>
    <t>Clone B27</t>
  </si>
  <si>
    <t>Clone MQ1-17H12</t>
  </si>
  <si>
    <t>Clone MAb11</t>
  </si>
  <si>
    <t>Clone SR84</t>
  </si>
  <si>
    <t>Clone Z7-205.rMAb</t>
  </si>
  <si>
    <t>Clone HNK-1</t>
  </si>
  <si>
    <t>Clone G043H7</t>
  </si>
  <si>
    <t>Clone 150503</t>
  </si>
  <si>
    <t>Clone A019D5</t>
  </si>
  <si>
    <t>Clone BC96</t>
  </si>
  <si>
    <t>Clone M-T271</t>
  </si>
  <si>
    <t>Clone CD28.2</t>
  </si>
  <si>
    <t>Clone DREG-56</t>
  </si>
  <si>
    <t>Clone Ki-67</t>
  </si>
  <si>
    <t>AB_3686579</t>
  </si>
  <si>
    <t>Clone B56</t>
  </si>
  <si>
    <t>Clone B5</t>
  </si>
  <si>
    <t>Critical commercial assays</t>
  </si>
  <si>
    <t>Chemicals, peptides, and recombinant proteins</t>
  </si>
  <si>
    <t>DMEM</t>
  </si>
  <si>
    <t>FBS</t>
  </si>
  <si>
    <t>RLT</t>
  </si>
  <si>
    <t>EDTA</t>
  </si>
  <si>
    <t>DTT</t>
  </si>
  <si>
    <t>RNA extraction</t>
  </si>
  <si>
    <t>scRNAseq kit</t>
  </si>
  <si>
    <t>ATACseq kit</t>
  </si>
  <si>
    <t>FlowJo™ v10.10</t>
  </si>
  <si>
    <t>Tree Star</t>
  </si>
  <si>
    <t>https://www.flowjo.com/</t>
  </si>
  <si>
    <t>Software and algorithms</t>
  </si>
  <si>
    <t>Prism v8.0.2</t>
  </si>
  <si>
    <t>GraphPad</t>
  </si>
  <si>
    <t>https://www.graphpad.com/</t>
  </si>
  <si>
    <t>R v5.4.2</t>
  </si>
  <si>
    <t>The R Project</t>
  </si>
  <si>
    <t>https://www.r-project.org/</t>
  </si>
  <si>
    <t>Seurat v5.6</t>
  </si>
  <si>
    <t>Yuan et al</t>
  </si>
  <si>
    <t>https://satijalab.org/seurat</t>
  </si>
  <si>
    <t>Python</t>
  </si>
  <si>
    <t>Scanpy</t>
  </si>
  <si>
    <t>DESeq2</t>
  </si>
  <si>
    <t>BD Cytofix/Cytoperm Fixation/Permeabilization Kit</t>
  </si>
  <si>
    <t>In house</t>
  </si>
  <si>
    <t>Biological Samples</t>
  </si>
  <si>
    <t>Thermo Fisher Scientific</t>
  </si>
  <si>
    <t>Cat#65-0865-18</t>
  </si>
  <si>
    <t xml:space="preserve">MACHEREY‑NAGEL </t>
  </si>
  <si>
    <t>GEO: GSE236581</t>
  </si>
  <si>
    <t>Chen et al</t>
  </si>
  <si>
    <t>GEO: GSE288199</t>
  </si>
  <si>
    <t>Housaiyin et al</t>
  </si>
  <si>
    <t>http://www.ncbi.nlm.nih.gov/geo/query/acc.cgi?acc=GSE288199</t>
  </si>
  <si>
    <t>http://www.ncbi.nlm.nih.gov/geo/query/acc.cgi?acc=GSE236581</t>
  </si>
  <si>
    <t>GEO: GSE123813</t>
  </si>
  <si>
    <t>Yost et al</t>
  </si>
  <si>
    <t>http://www.ncbi.nlm.nih.gov/geo/query/acc.cgi?acc=GSE123813</t>
  </si>
  <si>
    <t>Deposited data</t>
  </si>
  <si>
    <t>GEO: GSE176021</t>
  </si>
  <si>
    <t>Caushi et al</t>
  </si>
  <si>
    <t>http://www.ncbi.nlm.nih.gov/geo/query/acc.cgi?acc=GSE176021</t>
  </si>
  <si>
    <t>Atlas</t>
  </si>
  <si>
    <t>GEO: GSE179994</t>
  </si>
  <si>
    <t>Lui et al</t>
  </si>
  <si>
    <t>http://www.ncbi.nlm.nih.gov/geo/query/acc.cgi?acc=GSE179994</t>
  </si>
  <si>
    <t>Retinoic Acid</t>
  </si>
  <si>
    <t>RPMI 1640 Medium, GlutaMAX™ Supplement, HEPES</t>
  </si>
  <si>
    <t>Human TGF-beta 1 Recombinant Protein, PeproTech®</t>
  </si>
  <si>
    <t>Human IL-15 Recombinant Protein</t>
  </si>
  <si>
    <t>BD GolgiPlug™ Protein Transport Inhibitor (Containing Brefeldin A)</t>
  </si>
  <si>
    <t>BD GolgiStop™ Protein Transport Inhibitor (Containing Monensin)</t>
  </si>
  <si>
    <t>CFSE Cell Division Tracker Kit</t>
  </si>
  <si>
    <t>Lymphocyte separation medium</t>
  </si>
  <si>
    <t>CD8 MicroBeads, human</t>
  </si>
  <si>
    <t>CD3 MicroBeads, human</t>
  </si>
  <si>
    <t>CD57 MicroBeads, human</t>
  </si>
  <si>
    <t>CX3CR1 MicroBeads, human</t>
  </si>
  <si>
    <t>N/A</t>
  </si>
  <si>
    <t>MSL® : Lymphocytes separation medium</t>
  </si>
  <si>
    <t>CryoSure-DMSO</t>
  </si>
  <si>
    <t>The Python Software Foundation (PSF)</t>
  </si>
  <si>
    <t>https://www.python.org/</t>
  </si>
  <si>
    <t>SCR_008520</t>
  </si>
  <si>
    <t>CD8+ T Cell Isolation Kit, human</t>
  </si>
  <si>
    <t>Cat#65-0866-14</t>
  </si>
  <si>
    <t>Cat#555029</t>
  </si>
  <si>
    <t>Cat#554724</t>
  </si>
  <si>
    <t>Cat#130-095-760</t>
  </si>
  <si>
    <t>Cat#100-21C-50UG</t>
  </si>
  <si>
    <t>Cat#R2625</t>
  </si>
  <si>
    <t>Cat#11131D</t>
  </si>
  <si>
    <t>Cat#174925</t>
  </si>
  <si>
    <t>Cat#423801</t>
  </si>
  <si>
    <t>Cat#10010023</t>
  </si>
  <si>
    <t>Cat#CM1MDE68-01</t>
  </si>
  <si>
    <t>Cat#72400-021</t>
  </si>
  <si>
    <t>Cat#CVFSVF00-01</t>
  </si>
  <si>
    <t>Cat#CABPES01-0V</t>
  </si>
  <si>
    <t>Cat#509097</t>
  </si>
  <si>
    <t>Cat#130-045-201</t>
  </si>
  <si>
    <t>Cat#130-097-043</t>
  </si>
  <si>
    <t>Cat#130-136-769</t>
  </si>
  <si>
    <t>Cat#130-096-495</t>
  </si>
  <si>
    <t>Cat#130-099-032</t>
  </si>
  <si>
    <t>Cat#CMSMSL01-01</t>
  </si>
  <si>
    <t>Cat#WAK-DMSO-10A-10</t>
  </si>
  <si>
    <t>Cat#562574</t>
  </si>
  <si>
    <t>Cat#554714</t>
  </si>
  <si>
    <t>Cat#740984.25</t>
  </si>
  <si>
    <t>Cat#15575020</t>
  </si>
  <si>
    <t>Fixable Viability Dye eFluor™ 506</t>
  </si>
  <si>
    <t>Fixable Viability Dye eFluor™ 780</t>
  </si>
  <si>
    <t>Human IL-6 Recombinant Protein</t>
  </si>
  <si>
    <t>Abnova™</t>
  </si>
  <si>
    <t>Cat#16170035</t>
  </si>
  <si>
    <t>Human IL-4 Recombinant Protein</t>
  </si>
  <si>
    <t>Human IL-7 Recombinant Protein</t>
  </si>
  <si>
    <t>Human IL-12 Recombinant Protein</t>
  </si>
  <si>
    <t>Human IL-21 Recombinant Protein</t>
  </si>
  <si>
    <t>Human IFNg Recombinant Protein</t>
  </si>
  <si>
    <t>Human IL-10 Recombinant Protein</t>
  </si>
  <si>
    <t>Human IL-17a Recombinant Protein</t>
  </si>
  <si>
    <t>Human TNFa Recombinant Protein</t>
  </si>
  <si>
    <t>Cat#130-138-921</t>
  </si>
  <si>
    <t>Human IL-1 beta Recombinant Protein</t>
  </si>
  <si>
    <t>Cat#200-01B-10UG</t>
  </si>
  <si>
    <t>Cat#300-01A-10UG</t>
  </si>
  <si>
    <t>Cat#200-17-25UG</t>
  </si>
  <si>
    <t>Cat#130-093-873</t>
  </si>
  <si>
    <t>Cat#130-107-888</t>
  </si>
  <si>
    <t>Human IFN-β1a Recombinant Protein</t>
  </si>
  <si>
    <t>Human IFN-α2a Recombinant Protein</t>
  </si>
  <si>
    <t>Bulk RNAseq kit</t>
  </si>
  <si>
    <t>Healthy donnor blood</t>
  </si>
  <si>
    <t>Qiagen</t>
  </si>
  <si>
    <t>Cat#79216</t>
  </si>
  <si>
    <t>STAR v2.7.9a</t>
  </si>
  <si>
    <t>Love et al.</t>
  </si>
  <si>
    <t>https://bioconductor.org/packages/release/bioc/html/DESeq2.html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</si>
</sst>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ntibodyregistry.org/AB_31478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/geo/query/acc.cgi?acc=GSE17602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r-project.org/" TargetMode="External"/><Relationship Id="rId7" Type="http://schemas.openxmlformats.org/officeDocument/2006/relationships/hyperlink" Target="http://www.ncbi.nlm.nih.gov/geo/query/acc.cgi?acc=GSE123813" TargetMode="External"/><Relationship Id="rId12" Type="http://schemas.openxmlformats.org/officeDocument/2006/relationships/hyperlink" Target="https://bioconductor.org/packages/release/bioc/html/DESeq2.html" TargetMode="External"/><Relationship Id="rId2" Type="http://schemas.openxmlformats.org/officeDocument/2006/relationships/hyperlink" Target="https://www.graphpad.com/" TargetMode="External"/><Relationship Id="rId1" Type="http://schemas.openxmlformats.org/officeDocument/2006/relationships/hyperlink" Target="https://www.flowjo.com/" TargetMode="External"/><Relationship Id="rId6" Type="http://schemas.openxmlformats.org/officeDocument/2006/relationships/hyperlink" Target="http://www.ncbi.nlm.nih.gov/geo/query/acc.cgi?acc=GSE288199" TargetMode="External"/><Relationship Id="rId11" Type="http://schemas.openxmlformats.org/officeDocument/2006/relationships/hyperlink" Target="https://clinicaltrials.gov/ct2/show/NCT02817178" TargetMode="External"/><Relationship Id="rId5" Type="http://schemas.openxmlformats.org/officeDocument/2006/relationships/hyperlink" Target="http://www.ncbi.nlm.nih.gov/geo/query/acc.cgi?acc=GSE236581" TargetMode="External"/><Relationship Id="rId10" Type="http://schemas.openxmlformats.org/officeDocument/2006/relationships/hyperlink" Target="https://www.python.org/" TargetMode="External"/><Relationship Id="rId4" Type="http://schemas.openxmlformats.org/officeDocument/2006/relationships/hyperlink" Target="https://satijalab.org/seurat" TargetMode="External"/><Relationship Id="rId9" Type="http://schemas.openxmlformats.org/officeDocument/2006/relationships/hyperlink" Target="http://www.ncbi.nlm.nih.gov/geo/query/acc.cgi?acc=GSE179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C9DB-A544-49BF-BABE-574A8B442BAB}">
  <dimension ref="A1:R90"/>
  <sheetViews>
    <sheetView zoomScaleNormal="100" workbookViewId="0">
      <selection activeCell="B30" sqref="B30"/>
    </sheetView>
  </sheetViews>
  <sheetFormatPr baseColWidth="10" defaultRowHeight="14.4" outlineLevelRow="1" x14ac:dyDescent="0.3"/>
  <cols>
    <col min="1" max="1" width="34.33203125" bestFit="1" customWidth="1"/>
    <col min="2" max="2" width="15.6640625" style="2" bestFit="1" customWidth="1"/>
    <col min="3" max="3" width="37.21875" style="1" bestFit="1" customWidth="1"/>
    <col min="4" max="4" width="27.77734375" bestFit="1" customWidth="1"/>
    <col min="5" max="5" width="13.5546875" bestFit="1" customWidth="1"/>
    <col min="6" max="6" width="43.88671875" bestFit="1" customWidth="1"/>
    <col min="7" max="7" width="13.5546875" bestFit="1" customWidth="1"/>
    <col min="8" max="8" width="10.21875" bestFit="1" customWidth="1"/>
    <col min="9" max="9" width="12.33203125" bestFit="1" customWidth="1"/>
    <col min="10" max="10" width="14.6640625" bestFit="1" customWidth="1"/>
    <col min="11" max="11" width="18.44140625" bestFit="1" customWidth="1"/>
    <col min="12" max="12" width="9.6640625" customWidth="1"/>
    <col min="13" max="13" width="21" bestFit="1" customWidth="1"/>
    <col min="14" max="14" width="13" customWidth="1"/>
    <col min="15" max="15" width="11.44140625" customWidth="1"/>
  </cols>
  <sheetData>
    <row r="1" spans="1:12" ht="31.8" customHeight="1" x14ac:dyDescent="0.3">
      <c r="A1" s="7" t="s">
        <v>123</v>
      </c>
      <c r="B1" s="7" t="s">
        <v>125</v>
      </c>
      <c r="C1" s="8" t="s">
        <v>124</v>
      </c>
      <c r="D1" s="8" t="s">
        <v>252</v>
      </c>
      <c r="E1" s="9" t="s">
        <v>213</v>
      </c>
      <c r="F1" s="9" t="s">
        <v>214</v>
      </c>
      <c r="G1" s="9" t="s">
        <v>251</v>
      </c>
      <c r="H1" s="7" t="s">
        <v>126</v>
      </c>
      <c r="I1" s="7" t="s">
        <v>255</v>
      </c>
      <c r="J1" s="7" t="s">
        <v>253</v>
      </c>
      <c r="K1" s="9" t="s">
        <v>254</v>
      </c>
      <c r="L1" s="9" t="s">
        <v>274</v>
      </c>
    </row>
    <row r="2" spans="1:12" ht="14.4" customHeight="1" x14ac:dyDescent="0.3">
      <c r="A2" s="11" t="str">
        <f t="shared" ref="A2:A33" si="0">"Anti-" &amp; I2 &amp;  "-" &amp; J2 &amp; "; " &amp; K2</f>
        <v>Anti-4-1BB-PED; Clone 4B4-1</v>
      </c>
      <c r="B2" s="11" t="s">
        <v>3</v>
      </c>
      <c r="C2" s="11" t="str">
        <f t="shared" ref="C2:C33" si="1">D2 &amp; "RRID : " &amp; G2</f>
        <v>Cat#309826; RRID : AB_2566260</v>
      </c>
      <c r="D2" s="12" t="s">
        <v>128</v>
      </c>
      <c r="E2" s="13" t="s">
        <v>234</v>
      </c>
      <c r="F2" s="13" t="s">
        <v>216</v>
      </c>
      <c r="G2" s="14" t="str">
        <f>HYPERLINK(F2,E2)</f>
        <v>AB_2566260</v>
      </c>
      <c r="H2" s="11" t="s">
        <v>122</v>
      </c>
      <c r="I2" s="11" t="s">
        <v>31</v>
      </c>
      <c r="J2" s="11" t="s">
        <v>32</v>
      </c>
      <c r="K2" s="11" t="s">
        <v>256</v>
      </c>
      <c r="L2" s="11" t="s">
        <v>276</v>
      </c>
    </row>
    <row r="3" spans="1:12" ht="14.4" customHeight="1" x14ac:dyDescent="0.3">
      <c r="A3" s="11" t="str">
        <f t="shared" si="0"/>
        <v>Anti-BACH2-PE; Clone 16B10B53</v>
      </c>
      <c r="B3" s="11" t="s">
        <v>3</v>
      </c>
      <c r="C3" s="11" t="str">
        <f t="shared" si="1"/>
        <v>Cat#695604; RRID : AB_2922645</v>
      </c>
      <c r="D3" s="12" t="s">
        <v>158</v>
      </c>
      <c r="E3" s="13" t="s">
        <v>302</v>
      </c>
      <c r="F3" s="13" t="s">
        <v>303</v>
      </c>
      <c r="G3" s="14" t="str">
        <f>HYPERLINK(F3,E3)</f>
        <v>AB_2922645</v>
      </c>
      <c r="H3" s="11" t="s">
        <v>122</v>
      </c>
      <c r="I3" s="11" t="s">
        <v>56</v>
      </c>
      <c r="J3" s="11" t="s">
        <v>6</v>
      </c>
      <c r="K3" s="11" t="s">
        <v>414</v>
      </c>
      <c r="L3" s="11" t="s">
        <v>276</v>
      </c>
    </row>
    <row r="4" spans="1:12" ht="14.4" customHeight="1" x14ac:dyDescent="0.3">
      <c r="A4" s="11" t="str">
        <f t="shared" si="0"/>
        <v>Anti-CD101-PeCy7; Clone BB27</v>
      </c>
      <c r="B4" s="11" t="s">
        <v>3</v>
      </c>
      <c r="C4" s="11" t="str">
        <f t="shared" si="1"/>
        <v>Cat#331014; RRID : AB_2716109</v>
      </c>
      <c r="D4" s="12" t="s">
        <v>157</v>
      </c>
      <c r="E4" s="13" t="s">
        <v>300</v>
      </c>
      <c r="F4" s="13" t="s">
        <v>301</v>
      </c>
      <c r="G4" s="14" t="str">
        <f>HYPERLINK(F4,E4)</f>
        <v>AB_2716109</v>
      </c>
      <c r="H4" s="11" t="s">
        <v>122</v>
      </c>
      <c r="I4" s="11" t="s">
        <v>64</v>
      </c>
      <c r="J4" s="11" t="s">
        <v>20</v>
      </c>
      <c r="K4" s="11" t="s">
        <v>413</v>
      </c>
      <c r="L4" s="11" t="s">
        <v>276</v>
      </c>
    </row>
    <row r="5" spans="1:12" s="2" customFormat="1" ht="14.4" customHeight="1" x14ac:dyDescent="0.3">
      <c r="A5" s="11" t="str">
        <f t="shared" si="0"/>
        <v>Anti-CD103-Bv605; Clone Ber-ACT8</v>
      </c>
      <c r="B5" s="11" t="s">
        <v>3</v>
      </c>
      <c r="C5" s="11" t="str">
        <f t="shared" si="1"/>
        <v>Cat#350218; RRID : AB_2564283</v>
      </c>
      <c r="D5" s="12" t="s">
        <v>186</v>
      </c>
      <c r="E5" s="13" t="s">
        <v>348</v>
      </c>
      <c r="F5" s="13" t="s">
        <v>349</v>
      </c>
      <c r="G5" s="14" t="str">
        <f>HYPERLINK(F5,E5)</f>
        <v>AB_2564283</v>
      </c>
      <c r="H5" s="11" t="s">
        <v>122</v>
      </c>
      <c r="I5" s="11" t="s">
        <v>12</v>
      </c>
      <c r="J5" s="11" t="s">
        <v>22</v>
      </c>
      <c r="K5" s="11" t="s">
        <v>434</v>
      </c>
      <c r="L5" s="11" t="s">
        <v>276</v>
      </c>
    </row>
    <row r="6" spans="1:12" s="2" customFormat="1" ht="14.4" customHeight="1" x14ac:dyDescent="0.3">
      <c r="A6" s="11" t="str">
        <f t="shared" si="0"/>
        <v xml:space="preserve">Anti-CD103-Bv711; </v>
      </c>
      <c r="B6" s="11"/>
      <c r="C6" s="11" t="str">
        <f t="shared" si="1"/>
        <v xml:space="preserve">Cat#; RRID : </v>
      </c>
      <c r="D6" s="12" t="s">
        <v>145</v>
      </c>
      <c r="E6" s="10"/>
      <c r="F6" s="10"/>
      <c r="G6" s="10"/>
      <c r="H6" s="11" t="s">
        <v>122</v>
      </c>
      <c r="I6" s="11" t="s">
        <v>12</v>
      </c>
      <c r="J6" s="11" t="s">
        <v>59</v>
      </c>
      <c r="K6" s="10"/>
      <c r="L6" s="11" t="s">
        <v>276</v>
      </c>
    </row>
    <row r="7" spans="1:12" s="2" customFormat="1" ht="14.4" customHeight="1" x14ac:dyDescent="0.3">
      <c r="A7" s="11" t="str">
        <f t="shared" si="0"/>
        <v>Anti-CD103-PE; Clone B-Ly7</v>
      </c>
      <c r="B7" s="11" t="s">
        <v>47</v>
      </c>
      <c r="C7" s="11" t="str">
        <f t="shared" si="1"/>
        <v>Cat#12-1038-42; RRID : AB_11150242</v>
      </c>
      <c r="D7" s="12" t="s">
        <v>187</v>
      </c>
      <c r="E7" s="13" t="s">
        <v>350</v>
      </c>
      <c r="F7" s="13" t="s">
        <v>351</v>
      </c>
      <c r="G7" s="14" t="str">
        <f t="shared" ref="G7:G38" si="2">HYPERLINK(F7,E7)</f>
        <v>AB_11150242</v>
      </c>
      <c r="H7" s="11" t="s">
        <v>122</v>
      </c>
      <c r="I7" s="11" t="s">
        <v>12</v>
      </c>
      <c r="J7" s="11" t="s">
        <v>6</v>
      </c>
      <c r="K7" s="11" t="s">
        <v>435</v>
      </c>
      <c r="L7" s="11" t="s">
        <v>276</v>
      </c>
    </row>
    <row r="8" spans="1:12" s="2" customFormat="1" ht="14.4" customHeight="1" x14ac:dyDescent="0.3">
      <c r="A8" s="11" t="str">
        <f t="shared" si="0"/>
        <v xml:space="preserve">Anti-CD107a-FITC; </v>
      </c>
      <c r="B8" s="11" t="s">
        <v>7</v>
      </c>
      <c r="C8" s="11" t="str">
        <f t="shared" si="1"/>
        <v>Cat#852.901.010; RRID : not registered</v>
      </c>
      <c r="D8" s="12" t="s">
        <v>169</v>
      </c>
      <c r="E8" s="13" t="s">
        <v>289</v>
      </c>
      <c r="F8" s="13"/>
      <c r="G8" s="14" t="str">
        <f t="shared" si="2"/>
        <v>not registered</v>
      </c>
      <c r="H8" s="11" t="s">
        <v>122</v>
      </c>
      <c r="I8" s="11" t="s">
        <v>43</v>
      </c>
      <c r="J8" s="11" t="s">
        <v>10</v>
      </c>
      <c r="K8" s="11"/>
      <c r="L8" s="11" t="s">
        <v>276</v>
      </c>
    </row>
    <row r="9" spans="1:12" ht="14.4" customHeight="1" x14ac:dyDescent="0.3">
      <c r="A9" s="11" t="str">
        <f t="shared" si="0"/>
        <v>Anti-CD107a-PE; Clone H4A3</v>
      </c>
      <c r="B9" s="11" t="s">
        <v>259</v>
      </c>
      <c r="C9" s="11" t="str">
        <f t="shared" si="1"/>
        <v>Cat#555801; RRID : AB_396135</v>
      </c>
      <c r="D9" s="12" t="s">
        <v>170</v>
      </c>
      <c r="E9" s="13" t="s">
        <v>324</v>
      </c>
      <c r="F9" s="13" t="s">
        <v>325</v>
      </c>
      <c r="G9" s="14" t="str">
        <f t="shared" si="2"/>
        <v>AB_396135</v>
      </c>
      <c r="H9" s="11" t="s">
        <v>122</v>
      </c>
      <c r="I9" s="11" t="s">
        <v>43</v>
      </c>
      <c r="J9" s="11" t="s">
        <v>6</v>
      </c>
      <c r="K9" s="11" t="s">
        <v>424</v>
      </c>
      <c r="L9" s="11" t="s">
        <v>276</v>
      </c>
    </row>
    <row r="10" spans="1:12" ht="14.4" customHeight="1" x14ac:dyDescent="0.3">
      <c r="A10" s="11" t="str">
        <f t="shared" si="0"/>
        <v>Anti-CD127-Bv421; Clone A019D5</v>
      </c>
      <c r="B10" s="11" t="s">
        <v>3</v>
      </c>
      <c r="C10" s="11" t="str">
        <f t="shared" si="1"/>
        <v>Cat#351310; RRID : AB_10960140</v>
      </c>
      <c r="D10" s="12" t="s">
        <v>202</v>
      </c>
      <c r="E10" s="13" t="s">
        <v>380</v>
      </c>
      <c r="F10" s="13" t="s">
        <v>381</v>
      </c>
      <c r="G10" s="14" t="str">
        <f t="shared" si="2"/>
        <v>AB_10960140</v>
      </c>
      <c r="H10" s="11" t="s">
        <v>122</v>
      </c>
      <c r="I10" s="11" t="s">
        <v>49</v>
      </c>
      <c r="J10" s="11" t="s">
        <v>24</v>
      </c>
      <c r="K10" s="11" t="s">
        <v>447</v>
      </c>
      <c r="L10" s="11" t="s">
        <v>276</v>
      </c>
    </row>
    <row r="11" spans="1:12" ht="14.4" customHeight="1" x14ac:dyDescent="0.3">
      <c r="A11" s="11" t="str">
        <f t="shared" si="0"/>
        <v>Anti-CD226-PerCP5.5; Clone 11A8</v>
      </c>
      <c r="B11" s="11" t="s">
        <v>3</v>
      </c>
      <c r="C11" s="11" t="str">
        <f t="shared" si="1"/>
        <v>Cat#338314; RRID : AB_2566597</v>
      </c>
      <c r="D11" s="12" t="s">
        <v>130</v>
      </c>
      <c r="E11" s="13" t="s">
        <v>236</v>
      </c>
      <c r="F11" s="13" t="s">
        <v>218</v>
      </c>
      <c r="G11" s="14" t="str">
        <f t="shared" si="2"/>
        <v>AB_2566597</v>
      </c>
      <c r="H11" s="11" t="s">
        <v>122</v>
      </c>
      <c r="I11" s="11" t="s">
        <v>65</v>
      </c>
      <c r="J11" s="11" t="s">
        <v>63</v>
      </c>
      <c r="K11" s="11" t="s">
        <v>258</v>
      </c>
      <c r="L11" s="11" t="s">
        <v>276</v>
      </c>
    </row>
    <row r="12" spans="1:12" ht="14.4" customHeight="1" x14ac:dyDescent="0.3">
      <c r="A12" s="11" t="str">
        <f t="shared" si="0"/>
        <v>Anti-CD27-FITC; Clone M-T271</v>
      </c>
      <c r="B12" s="11" t="s">
        <v>3</v>
      </c>
      <c r="C12" s="11" t="str">
        <f t="shared" si="1"/>
        <v>Cat#356404; RRID : AB_2561788</v>
      </c>
      <c r="D12" s="12" t="s">
        <v>204</v>
      </c>
      <c r="E12" s="13" t="s">
        <v>384</v>
      </c>
      <c r="F12" s="13" t="s">
        <v>385</v>
      </c>
      <c r="G12" s="14" t="str">
        <f t="shared" si="2"/>
        <v>AB_2561788</v>
      </c>
      <c r="H12" s="11" t="s">
        <v>122</v>
      </c>
      <c r="I12" s="11" t="s">
        <v>40</v>
      </c>
      <c r="J12" s="11" t="s">
        <v>10</v>
      </c>
      <c r="K12" s="11" t="s">
        <v>449</v>
      </c>
      <c r="L12" s="11" t="s">
        <v>276</v>
      </c>
    </row>
    <row r="13" spans="1:12" ht="14.4" customHeight="1" x14ac:dyDescent="0.3">
      <c r="A13" s="11" t="str">
        <f t="shared" si="0"/>
        <v>Anti-CD28-APC; Clone CD28.2</v>
      </c>
      <c r="B13" s="11" t="s">
        <v>3</v>
      </c>
      <c r="C13" s="11" t="str">
        <f t="shared" si="1"/>
        <v>Cat#302912; RRID : AB_314314</v>
      </c>
      <c r="D13" s="12" t="s">
        <v>208</v>
      </c>
      <c r="E13" s="13" t="s">
        <v>392</v>
      </c>
      <c r="F13" s="13" t="s">
        <v>393</v>
      </c>
      <c r="G13" s="14" t="str">
        <f t="shared" si="2"/>
        <v>AB_314314</v>
      </c>
      <c r="H13" s="11" t="s">
        <v>122</v>
      </c>
      <c r="I13" s="11" t="s">
        <v>27</v>
      </c>
      <c r="J13" s="11" t="s">
        <v>18</v>
      </c>
      <c r="K13" s="11" t="s">
        <v>450</v>
      </c>
      <c r="L13" s="11" t="s">
        <v>276</v>
      </c>
    </row>
    <row r="14" spans="1:12" ht="14.4" customHeight="1" x14ac:dyDescent="0.3">
      <c r="A14" s="11" t="str">
        <f t="shared" si="0"/>
        <v>Anti-CD28-Bv650; Clone CD28.2</v>
      </c>
      <c r="B14" s="11" t="s">
        <v>3</v>
      </c>
      <c r="C14" s="11" t="str">
        <f t="shared" si="1"/>
        <v>Cat#302946; RRID : AB_2616855</v>
      </c>
      <c r="D14" s="12" t="s">
        <v>206</v>
      </c>
      <c r="E14" s="13" t="s">
        <v>388</v>
      </c>
      <c r="F14" s="13" t="s">
        <v>389</v>
      </c>
      <c r="G14" s="14" t="str">
        <f t="shared" si="2"/>
        <v>AB_2616855</v>
      </c>
      <c r="H14" s="11" t="s">
        <v>122</v>
      </c>
      <c r="I14" s="11" t="s">
        <v>27</v>
      </c>
      <c r="J14" s="11" t="s">
        <v>26</v>
      </c>
      <c r="K14" s="11" t="s">
        <v>450</v>
      </c>
      <c r="L14" s="11" t="s">
        <v>276</v>
      </c>
    </row>
    <row r="15" spans="1:12" ht="14.4" customHeight="1" x14ac:dyDescent="0.3">
      <c r="A15" s="11" t="str">
        <f t="shared" si="0"/>
        <v>Anti-CD28-PED; Clone CD28.2</v>
      </c>
      <c r="B15" s="11" t="s">
        <v>3</v>
      </c>
      <c r="C15" s="11" t="str">
        <f t="shared" si="1"/>
        <v>Cat#302942; RRID : AB_2564234</v>
      </c>
      <c r="D15" s="12" t="s">
        <v>207</v>
      </c>
      <c r="E15" s="13" t="s">
        <v>390</v>
      </c>
      <c r="F15" s="13" t="s">
        <v>391</v>
      </c>
      <c r="G15" s="14" t="str">
        <f t="shared" si="2"/>
        <v>AB_2564234</v>
      </c>
      <c r="H15" s="11" t="s">
        <v>122</v>
      </c>
      <c r="I15" s="11" t="s">
        <v>27</v>
      </c>
      <c r="J15" s="11" t="s">
        <v>32</v>
      </c>
      <c r="K15" s="11" t="s">
        <v>450</v>
      </c>
      <c r="L15" s="11" t="s">
        <v>276</v>
      </c>
    </row>
    <row r="16" spans="1:12" s="2" customFormat="1" ht="14.4" customHeight="1" x14ac:dyDescent="0.3">
      <c r="A16" s="11" t="str">
        <f t="shared" si="0"/>
        <v>Anti-CD38-FITC; Clone HIT2</v>
      </c>
      <c r="B16" s="11" t="s">
        <v>259</v>
      </c>
      <c r="C16" s="11" t="str">
        <f t="shared" si="1"/>
        <v>Cat#555459; RRID : AB_395852</v>
      </c>
      <c r="D16" s="12" t="s">
        <v>132</v>
      </c>
      <c r="E16" s="13" t="s">
        <v>238</v>
      </c>
      <c r="F16" s="13" t="s">
        <v>220</v>
      </c>
      <c r="G16" s="14" t="str">
        <f t="shared" si="2"/>
        <v>AB_395852</v>
      </c>
      <c r="H16" s="11" t="s">
        <v>122</v>
      </c>
      <c r="I16" s="11" t="s">
        <v>77</v>
      </c>
      <c r="J16" s="11" t="s">
        <v>10</v>
      </c>
      <c r="K16" s="11" t="s">
        <v>261</v>
      </c>
      <c r="L16" s="11" t="s">
        <v>276</v>
      </c>
    </row>
    <row r="17" spans="1:18" s="2" customFormat="1" ht="14.4" customHeight="1" x14ac:dyDescent="0.3">
      <c r="A17" s="11" t="str">
        <f t="shared" si="0"/>
        <v xml:space="preserve">Anti-CD39-Bv605; </v>
      </c>
      <c r="B17" s="11" t="s">
        <v>60</v>
      </c>
      <c r="C17" s="11" t="str">
        <f t="shared" si="1"/>
        <v>Cat#328236; RRID : not registered</v>
      </c>
      <c r="D17" s="12" t="s">
        <v>155</v>
      </c>
      <c r="E17" s="13" t="s">
        <v>289</v>
      </c>
      <c r="F17" s="13"/>
      <c r="G17" s="14" t="str">
        <f t="shared" si="2"/>
        <v>not registered</v>
      </c>
      <c r="H17" s="11" t="s">
        <v>122</v>
      </c>
      <c r="I17" s="11" t="s">
        <v>66</v>
      </c>
      <c r="J17" s="11" t="s">
        <v>22</v>
      </c>
      <c r="K17" s="11"/>
      <c r="L17" s="11" t="s">
        <v>276</v>
      </c>
    </row>
    <row r="18" spans="1:18" s="2" customFormat="1" ht="14.4" customHeight="1" x14ac:dyDescent="0.3">
      <c r="A18" s="11" t="str">
        <f t="shared" si="0"/>
        <v>Anti-CD39-PED; Clone A1</v>
      </c>
      <c r="B18" s="11" t="s">
        <v>3</v>
      </c>
      <c r="C18" s="11" t="str">
        <f t="shared" si="1"/>
        <v>Cat#328224; RRID : AB_2564319</v>
      </c>
      <c r="D18" s="12" t="s">
        <v>156</v>
      </c>
      <c r="E18" s="13" t="s">
        <v>298</v>
      </c>
      <c r="F18" s="13" t="s">
        <v>299</v>
      </c>
      <c r="G18" s="14" t="str">
        <f t="shared" si="2"/>
        <v>AB_2564319</v>
      </c>
      <c r="H18" s="11" t="s">
        <v>122</v>
      </c>
      <c r="I18" s="11" t="s">
        <v>66</v>
      </c>
      <c r="J18" s="11" t="s">
        <v>32</v>
      </c>
      <c r="K18" s="11" t="s">
        <v>412</v>
      </c>
      <c r="L18" s="11" t="s">
        <v>276</v>
      </c>
    </row>
    <row r="19" spans="1:18" s="2" customFormat="1" ht="14.4" customHeight="1" x14ac:dyDescent="0.3">
      <c r="A19" s="11" t="str">
        <f t="shared" si="0"/>
        <v>Anti-CD3-BB700; Clone OKT3</v>
      </c>
      <c r="B19" s="11" t="s">
        <v>259</v>
      </c>
      <c r="C19" s="11" t="str">
        <f t="shared" si="1"/>
        <v>Cat#566818; RRID : AB_2869885</v>
      </c>
      <c r="D19" s="12" t="s">
        <v>173</v>
      </c>
      <c r="E19" s="13" t="s">
        <v>330</v>
      </c>
      <c r="F19" s="13" t="s">
        <v>331</v>
      </c>
      <c r="G19" s="14" t="str">
        <f t="shared" si="2"/>
        <v>AB_2869885</v>
      </c>
      <c r="H19" s="11" t="s">
        <v>122</v>
      </c>
      <c r="I19" s="11" t="s">
        <v>4</v>
      </c>
      <c r="J19" s="11" t="s">
        <v>5</v>
      </c>
      <c r="K19" s="11" t="s">
        <v>427</v>
      </c>
      <c r="L19" s="11" t="s">
        <v>276</v>
      </c>
    </row>
    <row r="20" spans="1:18" s="2" customFormat="1" ht="14.4" customHeight="1" x14ac:dyDescent="0.3">
      <c r="A20" s="11" t="str">
        <f t="shared" si="0"/>
        <v xml:space="preserve">Anti-CD3-Bv711; </v>
      </c>
      <c r="B20" s="11" t="s">
        <v>60</v>
      </c>
      <c r="C20" s="11" t="str">
        <f t="shared" si="1"/>
        <v>Cat#2102320; RRID : not registered</v>
      </c>
      <c r="D20" s="12" t="s">
        <v>176</v>
      </c>
      <c r="E20" s="13" t="s">
        <v>289</v>
      </c>
      <c r="F20" s="13"/>
      <c r="G20" s="14" t="str">
        <f t="shared" si="2"/>
        <v>not registered</v>
      </c>
      <c r="H20" s="11" t="s">
        <v>122</v>
      </c>
      <c r="I20" s="11" t="s">
        <v>4</v>
      </c>
      <c r="J20" s="11" t="s">
        <v>59</v>
      </c>
      <c r="K20" s="11"/>
      <c r="L20" s="11" t="s">
        <v>276</v>
      </c>
      <c r="N20" s="3"/>
      <c r="O20" s="3"/>
      <c r="P20" s="3"/>
      <c r="Q20" s="3"/>
      <c r="R20" s="3"/>
    </row>
    <row r="21" spans="1:18" s="2" customFormat="1" ht="14.4" customHeight="1" x14ac:dyDescent="0.3">
      <c r="A21" s="11" t="str">
        <f t="shared" si="0"/>
        <v>Anti-CD3-PB; Clone UCHT1</v>
      </c>
      <c r="B21" s="11" t="s">
        <v>259</v>
      </c>
      <c r="C21" s="11" t="str">
        <f t="shared" si="1"/>
        <v>Cat#558117; RRID : AB_397038</v>
      </c>
      <c r="D21" s="12" t="s">
        <v>174</v>
      </c>
      <c r="E21" s="13" t="s">
        <v>332</v>
      </c>
      <c r="F21" s="13" t="s">
        <v>333</v>
      </c>
      <c r="G21" s="14" t="str">
        <f t="shared" si="2"/>
        <v>AB_397038</v>
      </c>
      <c r="H21" s="11" t="s">
        <v>122</v>
      </c>
      <c r="I21" s="11" t="s">
        <v>4</v>
      </c>
      <c r="J21" s="11" t="s">
        <v>36</v>
      </c>
      <c r="K21" s="11" t="s">
        <v>428</v>
      </c>
      <c r="L21" s="11" t="s">
        <v>276</v>
      </c>
      <c r="N21" s="4"/>
      <c r="O21" s="4"/>
      <c r="P21" s="4"/>
    </row>
    <row r="22" spans="1:18" s="2" customFormat="1" ht="14.4" customHeight="1" x14ac:dyDescent="0.3">
      <c r="A22" s="11" t="str">
        <f t="shared" si="0"/>
        <v xml:space="preserve">Anti-CD3-PE; </v>
      </c>
      <c r="B22" s="11" t="s">
        <v>7</v>
      </c>
      <c r="C22" s="11" t="str">
        <f t="shared" si="1"/>
        <v>Cat#854.962.010; RRID : not registered</v>
      </c>
      <c r="D22" s="12" t="s">
        <v>177</v>
      </c>
      <c r="E22" s="13" t="s">
        <v>289</v>
      </c>
      <c r="F22" s="13"/>
      <c r="G22" s="14" t="str">
        <f t="shared" si="2"/>
        <v>not registered</v>
      </c>
      <c r="H22" s="11" t="s">
        <v>122</v>
      </c>
      <c r="I22" s="11" t="s">
        <v>4</v>
      </c>
      <c r="J22" s="11" t="s">
        <v>6</v>
      </c>
      <c r="K22" s="11"/>
      <c r="L22" s="11" t="s">
        <v>276</v>
      </c>
      <c r="N22" s="4"/>
      <c r="O22" s="4"/>
      <c r="P22" s="4"/>
    </row>
    <row r="23" spans="1:18" s="2" customFormat="1" ht="14.4" customHeight="1" x14ac:dyDescent="0.3">
      <c r="A23" s="11" t="str">
        <f t="shared" si="0"/>
        <v>Anti-CD3-PE; Clone UCHT1</v>
      </c>
      <c r="B23" s="11" t="s">
        <v>3</v>
      </c>
      <c r="C23" s="11" t="str">
        <f t="shared" si="1"/>
        <v>Cat#300441; RRID : AB_2562047</v>
      </c>
      <c r="D23" s="12" t="s">
        <v>175</v>
      </c>
      <c r="E23" s="13" t="s">
        <v>334</v>
      </c>
      <c r="F23" s="13" t="s">
        <v>335</v>
      </c>
      <c r="G23" s="14" t="str">
        <f t="shared" si="2"/>
        <v>AB_2562047</v>
      </c>
      <c r="H23" s="11" t="s">
        <v>122</v>
      </c>
      <c r="I23" s="11" t="s">
        <v>4</v>
      </c>
      <c r="J23" s="11" t="s">
        <v>6</v>
      </c>
      <c r="K23" s="11" t="s">
        <v>428</v>
      </c>
      <c r="L23" s="11" t="s">
        <v>276</v>
      </c>
      <c r="N23" s="4"/>
      <c r="O23" s="4"/>
      <c r="P23" s="4"/>
    </row>
    <row r="24" spans="1:18" s="2" customFormat="1" ht="14.4" customHeight="1" x14ac:dyDescent="0.3">
      <c r="A24" s="11" t="str">
        <f t="shared" si="0"/>
        <v>Anti-CD45RA-APC; Clone HI100</v>
      </c>
      <c r="B24" s="11" t="s">
        <v>259</v>
      </c>
      <c r="C24" s="11" t="str">
        <f t="shared" si="1"/>
        <v>Cat#550855; RRID : AB_398468</v>
      </c>
      <c r="D24" s="12" t="s">
        <v>135</v>
      </c>
      <c r="E24" s="13" t="s">
        <v>241</v>
      </c>
      <c r="F24" s="13" t="s">
        <v>223</v>
      </c>
      <c r="G24" s="14" t="str">
        <f t="shared" si="2"/>
        <v>AB_398468</v>
      </c>
      <c r="H24" s="11" t="s">
        <v>122</v>
      </c>
      <c r="I24" s="11" t="s">
        <v>54</v>
      </c>
      <c r="J24" s="11" t="s">
        <v>18</v>
      </c>
      <c r="K24" s="11" t="s">
        <v>264</v>
      </c>
      <c r="L24" s="11" t="s">
        <v>276</v>
      </c>
      <c r="N24" s="4"/>
      <c r="O24" s="4"/>
      <c r="P24" s="4"/>
    </row>
    <row r="25" spans="1:18" s="2" customFormat="1" ht="14.4" customHeight="1" x14ac:dyDescent="0.3">
      <c r="A25" s="11" t="str">
        <f t="shared" si="0"/>
        <v>Anti-CD49a-Bv421; Clone SR84</v>
      </c>
      <c r="B25" s="11" t="s">
        <v>259</v>
      </c>
      <c r="C25" s="11" t="str">
        <f t="shared" si="1"/>
        <v>Cat#742357; RRID : AB_2740715</v>
      </c>
      <c r="D25" s="12" t="s">
        <v>197</v>
      </c>
      <c r="E25" s="13" t="s">
        <v>370</v>
      </c>
      <c r="F25" s="13" t="s">
        <v>371</v>
      </c>
      <c r="G25" s="14" t="str">
        <f t="shared" si="2"/>
        <v>AB_2740715</v>
      </c>
      <c r="H25" s="11" t="s">
        <v>122</v>
      </c>
      <c r="I25" s="11" t="s">
        <v>45</v>
      </c>
      <c r="J25" s="11" t="s">
        <v>24</v>
      </c>
      <c r="K25" s="11" t="s">
        <v>442</v>
      </c>
      <c r="L25" s="11" t="s">
        <v>276</v>
      </c>
      <c r="N25" s="4"/>
      <c r="O25" s="4"/>
      <c r="P25" s="4"/>
    </row>
    <row r="26" spans="1:18" ht="14.4" customHeight="1" x14ac:dyDescent="0.3">
      <c r="A26" s="11" t="str">
        <f t="shared" si="0"/>
        <v>Anti-CD62L-Bv650; Clone DREG-56</v>
      </c>
      <c r="B26" s="11" t="s">
        <v>3</v>
      </c>
      <c r="C26" s="11" t="str">
        <f t="shared" si="1"/>
        <v>Cat#304832; RRID : AB_2563821</v>
      </c>
      <c r="D26" s="12" t="s">
        <v>209</v>
      </c>
      <c r="E26" s="13" t="s">
        <v>394</v>
      </c>
      <c r="F26" s="13" t="s">
        <v>395</v>
      </c>
      <c r="G26" s="14" t="str">
        <f t="shared" si="2"/>
        <v>AB_2563821</v>
      </c>
      <c r="H26" s="11" t="s">
        <v>122</v>
      </c>
      <c r="I26" s="11" t="s">
        <v>25</v>
      </c>
      <c r="J26" s="11" t="s">
        <v>26</v>
      </c>
      <c r="K26" s="11" t="s">
        <v>451</v>
      </c>
      <c r="L26" s="11" t="s">
        <v>276</v>
      </c>
      <c r="N26" s="4"/>
      <c r="O26" s="4"/>
      <c r="P26" s="4"/>
    </row>
    <row r="27" spans="1:18" ht="14.4" customHeight="1" x14ac:dyDescent="0.3">
      <c r="A27" s="11" t="str">
        <f t="shared" si="0"/>
        <v>Anti-CD69-A700; Clone FN50</v>
      </c>
      <c r="B27" s="11" t="s">
        <v>3</v>
      </c>
      <c r="C27" s="11" t="str">
        <f t="shared" si="1"/>
        <v>Cat#310922; RRID : AB_493775</v>
      </c>
      <c r="D27" s="12" t="s">
        <v>184</v>
      </c>
      <c r="E27" s="13" t="s">
        <v>344</v>
      </c>
      <c r="F27" s="13" t="s">
        <v>345</v>
      </c>
      <c r="G27" s="14" t="str">
        <f t="shared" si="2"/>
        <v>AB_493775</v>
      </c>
      <c r="H27" s="11" t="s">
        <v>122</v>
      </c>
      <c r="I27" s="11" t="s">
        <v>11</v>
      </c>
      <c r="J27" s="11" t="s">
        <v>15</v>
      </c>
      <c r="K27" s="11" t="s">
        <v>433</v>
      </c>
      <c r="L27" s="11" t="s">
        <v>276</v>
      </c>
      <c r="N27" s="4"/>
      <c r="O27" s="4"/>
      <c r="P27" s="4"/>
    </row>
    <row r="28" spans="1:18" ht="14.4" customHeight="1" x14ac:dyDescent="0.3">
      <c r="A28" s="11" t="str">
        <f t="shared" si="0"/>
        <v>Anti-CD8-Bv510; Clone SK1</v>
      </c>
      <c r="B28" s="11" t="s">
        <v>3</v>
      </c>
      <c r="C28" s="11" t="str">
        <f t="shared" si="1"/>
        <v>Cat#344732; RRID : AB_2564624</v>
      </c>
      <c r="D28" s="12" t="s">
        <v>181</v>
      </c>
      <c r="E28" s="13" t="s">
        <v>340</v>
      </c>
      <c r="F28" s="13" t="s">
        <v>341</v>
      </c>
      <c r="G28" s="14" t="str">
        <f t="shared" si="2"/>
        <v>AB_2564624</v>
      </c>
      <c r="H28" s="11" t="s">
        <v>122</v>
      </c>
      <c r="I28" s="11" t="s">
        <v>8</v>
      </c>
      <c r="J28" s="11" t="s">
        <v>9</v>
      </c>
      <c r="K28" s="11" t="s">
        <v>431</v>
      </c>
      <c r="L28" s="11" t="s">
        <v>276</v>
      </c>
      <c r="N28" s="4"/>
      <c r="O28" s="4"/>
      <c r="P28" s="4"/>
    </row>
    <row r="29" spans="1:18" s="2" customFormat="1" ht="14.4" customHeight="1" x14ac:dyDescent="0.3">
      <c r="A29" s="11" t="str">
        <f t="shared" si="0"/>
        <v xml:space="preserve">Anti-CD8-FITC; </v>
      </c>
      <c r="B29" s="11" t="s">
        <v>7</v>
      </c>
      <c r="C29" s="11" t="str">
        <f t="shared" si="1"/>
        <v>Cat#854.961.010; RRID : not registered</v>
      </c>
      <c r="D29" s="12" t="s">
        <v>183</v>
      </c>
      <c r="E29" s="13" t="s">
        <v>289</v>
      </c>
      <c r="F29" s="13"/>
      <c r="G29" s="14" t="str">
        <f t="shared" si="2"/>
        <v>not registered</v>
      </c>
      <c r="H29" s="11" t="s">
        <v>122</v>
      </c>
      <c r="I29" s="11" t="s">
        <v>8</v>
      </c>
      <c r="J29" s="11" t="s">
        <v>10</v>
      </c>
      <c r="K29" s="11"/>
      <c r="L29" s="11" t="s">
        <v>276</v>
      </c>
      <c r="N29" s="4"/>
      <c r="O29" s="4"/>
      <c r="P29" s="4"/>
    </row>
    <row r="30" spans="1:18" s="2" customFormat="1" ht="14.4" customHeight="1" x14ac:dyDescent="0.3">
      <c r="A30" s="11" t="str">
        <f t="shared" si="0"/>
        <v>Anti-CD8-FITC; Clone RPA-T8</v>
      </c>
      <c r="B30" s="11" t="s">
        <v>3</v>
      </c>
      <c r="C30" s="11" t="str">
        <f t="shared" si="1"/>
        <v>Cat#301050; RRID : AB_2562055</v>
      </c>
      <c r="D30" s="12" t="s">
        <v>182</v>
      </c>
      <c r="E30" s="13" t="s">
        <v>342</v>
      </c>
      <c r="F30" s="13" t="s">
        <v>343</v>
      </c>
      <c r="G30" s="14" t="str">
        <f t="shared" si="2"/>
        <v>AB_2562055</v>
      </c>
      <c r="H30" s="11" t="s">
        <v>122</v>
      </c>
      <c r="I30" s="11" t="s">
        <v>8</v>
      </c>
      <c r="J30" s="11" t="s">
        <v>10</v>
      </c>
      <c r="K30" s="11" t="s">
        <v>432</v>
      </c>
      <c r="L30" s="11" t="s">
        <v>276</v>
      </c>
      <c r="N30" s="4"/>
      <c r="O30" s="4"/>
      <c r="P30" s="4"/>
    </row>
    <row r="31" spans="1:18" s="2" customFormat="1" ht="14.4" customHeight="1" x14ac:dyDescent="0.3">
      <c r="A31" s="11" t="str">
        <f t="shared" si="0"/>
        <v>Anti-CXCR6-APC; Clone K041E5</v>
      </c>
      <c r="B31" s="11" t="s">
        <v>3</v>
      </c>
      <c r="C31" s="11" t="str">
        <f t="shared" si="1"/>
        <v>Cat#356006; RRID : AB_2562223</v>
      </c>
      <c r="D31" s="12" t="s">
        <v>189</v>
      </c>
      <c r="E31" s="13" t="s">
        <v>354</v>
      </c>
      <c r="F31" s="13" t="s">
        <v>355</v>
      </c>
      <c r="G31" s="14" t="str">
        <f t="shared" si="2"/>
        <v>AB_2562223</v>
      </c>
      <c r="H31" s="11" t="s">
        <v>122</v>
      </c>
      <c r="I31" s="11" t="s">
        <v>13</v>
      </c>
      <c r="J31" s="11" t="s">
        <v>18</v>
      </c>
      <c r="K31" s="11" t="s">
        <v>436</v>
      </c>
      <c r="L31" s="11" t="s">
        <v>276</v>
      </c>
      <c r="N31" s="4"/>
      <c r="O31" s="4"/>
      <c r="P31" s="4"/>
    </row>
    <row r="32" spans="1:18" s="2" customFormat="1" ht="14.4" customHeight="1" x14ac:dyDescent="0.3">
      <c r="A32" s="11" t="str">
        <f t="shared" si="0"/>
        <v>Anti-CXCR6-PeCy7; Clone K041E5</v>
      </c>
      <c r="B32" s="11" t="s">
        <v>3</v>
      </c>
      <c r="C32" s="11" t="str">
        <f t="shared" si="1"/>
        <v>Cat#356012; RRID : AB_2562315</v>
      </c>
      <c r="D32" s="12" t="s">
        <v>188</v>
      </c>
      <c r="E32" s="13" t="s">
        <v>352</v>
      </c>
      <c r="F32" s="13" t="s">
        <v>353</v>
      </c>
      <c r="G32" s="14" t="str">
        <f t="shared" si="2"/>
        <v>AB_2562315</v>
      </c>
      <c r="H32" s="11" t="s">
        <v>122</v>
      </c>
      <c r="I32" s="11" t="s">
        <v>13</v>
      </c>
      <c r="J32" s="11" t="s">
        <v>20</v>
      </c>
      <c r="K32" s="11" t="s">
        <v>436</v>
      </c>
      <c r="L32" s="11" t="s">
        <v>276</v>
      </c>
      <c r="N32" s="4"/>
      <c r="O32" s="4"/>
      <c r="P32" s="4"/>
    </row>
    <row r="33" spans="1:16" s="2" customFormat="1" ht="14.4" customHeight="1" x14ac:dyDescent="0.3">
      <c r="A33" s="11" t="str">
        <f t="shared" si="0"/>
        <v>Anti-Eomes-FITC; Clone X4-83</v>
      </c>
      <c r="B33" s="11" t="s">
        <v>259</v>
      </c>
      <c r="C33" s="11" t="str">
        <f t="shared" si="1"/>
        <v>Cat#567169; RRID : AB_2916486</v>
      </c>
      <c r="D33" s="12" t="s">
        <v>159</v>
      </c>
      <c r="E33" s="13" t="s">
        <v>304</v>
      </c>
      <c r="F33" s="13" t="s">
        <v>305</v>
      </c>
      <c r="G33" s="14" t="str">
        <f t="shared" si="2"/>
        <v>AB_2916486</v>
      </c>
      <c r="H33" s="11" t="s">
        <v>122</v>
      </c>
      <c r="I33" s="11" t="s">
        <v>44</v>
      </c>
      <c r="J33" s="11" t="s">
        <v>10</v>
      </c>
      <c r="K33" s="11" t="s">
        <v>415</v>
      </c>
      <c r="L33" s="11" t="s">
        <v>276</v>
      </c>
      <c r="N33" s="4"/>
      <c r="O33" s="4"/>
      <c r="P33" s="4"/>
    </row>
    <row r="34" spans="1:16" ht="14.4" customHeight="1" x14ac:dyDescent="0.3">
      <c r="A34" s="11" t="str">
        <f t="shared" ref="A34:A65" si="3">"Anti-" &amp; I34 &amp;  "-" &amp; J34 &amp; "; " &amp; K34</f>
        <v>Anti-Granzyme B-A647; Clone GB11</v>
      </c>
      <c r="B34" s="11" t="s">
        <v>3</v>
      </c>
      <c r="C34" s="11" t="str">
        <f t="shared" ref="C34:C65" si="4">D34 &amp; "RRID : " &amp; G34</f>
        <v>Cat#515406; RRID : AB_2566333</v>
      </c>
      <c r="D34" s="12" t="s">
        <v>171</v>
      </c>
      <c r="E34" s="13" t="s">
        <v>326</v>
      </c>
      <c r="F34" s="13" t="s">
        <v>327</v>
      </c>
      <c r="G34" s="14" t="str">
        <f t="shared" si="2"/>
        <v>AB_2566333</v>
      </c>
      <c r="H34" s="11" t="s">
        <v>122</v>
      </c>
      <c r="I34" s="11" t="s">
        <v>55</v>
      </c>
      <c r="J34" s="11" t="s">
        <v>37</v>
      </c>
      <c r="K34" s="11" t="s">
        <v>425</v>
      </c>
      <c r="L34" s="11" t="s">
        <v>276</v>
      </c>
      <c r="N34" s="4"/>
      <c r="O34" s="4"/>
      <c r="P34" s="4"/>
    </row>
    <row r="35" spans="1:16" ht="14.4" customHeight="1" x14ac:dyDescent="0.3">
      <c r="A35" s="11" t="str">
        <f t="shared" si="3"/>
        <v>Anti-ICOS-Bv650; Clone DX29</v>
      </c>
      <c r="B35" s="11" t="s">
        <v>259</v>
      </c>
      <c r="C35" s="11" t="str">
        <f t="shared" si="4"/>
        <v>Cat#563832; RRID : AB_2738439</v>
      </c>
      <c r="D35" s="12" t="s">
        <v>129</v>
      </c>
      <c r="E35" s="13" t="s">
        <v>235</v>
      </c>
      <c r="F35" s="13" t="s">
        <v>217</v>
      </c>
      <c r="G35" s="14" t="str">
        <f t="shared" si="2"/>
        <v>AB_2738439</v>
      </c>
      <c r="H35" s="11" t="s">
        <v>122</v>
      </c>
      <c r="I35" s="11" t="s">
        <v>39</v>
      </c>
      <c r="J35" s="11" t="s">
        <v>26</v>
      </c>
      <c r="K35" s="11" t="s">
        <v>257</v>
      </c>
      <c r="L35" s="11" t="s">
        <v>276</v>
      </c>
      <c r="N35" s="4"/>
      <c r="O35" s="4"/>
      <c r="P35" s="4"/>
    </row>
    <row r="36" spans="1:16" ht="14.4" customHeight="1" x14ac:dyDescent="0.3">
      <c r="A36" s="11" t="str">
        <f t="shared" si="3"/>
        <v>Anti-ID3-PE; Clone S30-778</v>
      </c>
      <c r="B36" s="11" t="s">
        <v>259</v>
      </c>
      <c r="C36" s="11" t="str">
        <f t="shared" si="4"/>
        <v>Cat#564564; RRID : AB_2738846</v>
      </c>
      <c r="D36" s="12" t="s">
        <v>160</v>
      </c>
      <c r="E36" s="13" t="s">
        <v>306</v>
      </c>
      <c r="F36" s="13" t="s">
        <v>307</v>
      </c>
      <c r="G36" s="14" t="str">
        <f t="shared" si="2"/>
        <v>AB_2738846</v>
      </c>
      <c r="H36" s="11" t="s">
        <v>122</v>
      </c>
      <c r="I36" s="11" t="s">
        <v>42</v>
      </c>
      <c r="J36" s="11" t="s">
        <v>6</v>
      </c>
      <c r="K36" s="11" t="s">
        <v>416</v>
      </c>
      <c r="L36" s="11" t="s">
        <v>276</v>
      </c>
      <c r="N36" s="4"/>
      <c r="O36" s="4"/>
      <c r="P36" s="4"/>
    </row>
    <row r="37" spans="1:16" ht="14.4" customHeight="1" x14ac:dyDescent="0.3">
      <c r="A37" s="11" t="str">
        <f t="shared" si="3"/>
        <v>Anti-IFNγ-APC; Clone B27</v>
      </c>
      <c r="B37" s="11" t="s">
        <v>259</v>
      </c>
      <c r="C37" s="11" t="str">
        <f t="shared" si="4"/>
        <v>Cat#554702; RRID : AB_398580</v>
      </c>
      <c r="D37" s="12" t="s">
        <v>194</v>
      </c>
      <c r="E37" s="13" t="s">
        <v>364</v>
      </c>
      <c r="F37" s="13" t="s">
        <v>365</v>
      </c>
      <c r="G37" s="14" t="str">
        <f t="shared" si="2"/>
        <v>AB_398580</v>
      </c>
      <c r="H37" s="11" t="s">
        <v>122</v>
      </c>
      <c r="I37" s="11" t="s">
        <v>16</v>
      </c>
      <c r="J37" s="11" t="s">
        <v>18</v>
      </c>
      <c r="K37" s="11" t="s">
        <v>439</v>
      </c>
      <c r="L37" s="11" t="s">
        <v>420</v>
      </c>
      <c r="N37" s="4"/>
      <c r="O37" s="4"/>
      <c r="P37" s="4"/>
    </row>
    <row r="38" spans="1:16" ht="14.4" customHeight="1" x14ac:dyDescent="0.3">
      <c r="A38" s="11" t="str">
        <f t="shared" si="3"/>
        <v>Anti-IL2-Bv421; Clone MQ1-17H12</v>
      </c>
      <c r="B38" s="11" t="s">
        <v>3</v>
      </c>
      <c r="C38" s="11" t="str">
        <f t="shared" si="4"/>
        <v>Cat#500328; RRID : AB_10962947</v>
      </c>
      <c r="D38" s="12" t="s">
        <v>195</v>
      </c>
      <c r="E38" s="13" t="s">
        <v>366</v>
      </c>
      <c r="F38" s="13" t="s">
        <v>367</v>
      </c>
      <c r="G38" s="14" t="str">
        <f t="shared" si="2"/>
        <v>AB_10962947</v>
      </c>
      <c r="H38" s="11" t="s">
        <v>122</v>
      </c>
      <c r="I38" s="11" t="s">
        <v>23</v>
      </c>
      <c r="J38" s="11" t="s">
        <v>24</v>
      </c>
      <c r="K38" s="11" t="s">
        <v>440</v>
      </c>
      <c r="L38" s="11" t="s">
        <v>276</v>
      </c>
      <c r="N38" s="4"/>
      <c r="O38" s="4"/>
      <c r="P38" s="4"/>
    </row>
    <row r="39" spans="1:16" ht="14.4" customHeight="1" x14ac:dyDescent="0.3">
      <c r="A39" s="11" t="str">
        <f t="shared" si="3"/>
        <v>Anti-Ki67-A488; Clone Ki-67</v>
      </c>
      <c r="B39" s="11" t="s">
        <v>259</v>
      </c>
      <c r="C39" s="11" t="str">
        <f t="shared" si="4"/>
        <v>Cat#571536; RRID : AB_3686579</v>
      </c>
      <c r="D39" s="12" t="s">
        <v>210</v>
      </c>
      <c r="E39" s="13" t="s">
        <v>453</v>
      </c>
      <c r="F39" s="13" t="s">
        <v>396</v>
      </c>
      <c r="G39" s="14" t="str">
        <f t="shared" ref="G39:G70" si="5">HYPERLINK(F39,E39)</f>
        <v>AB_3686579</v>
      </c>
      <c r="H39" s="11" t="s">
        <v>122</v>
      </c>
      <c r="I39" s="11" t="s">
        <v>28</v>
      </c>
      <c r="J39" s="11" t="s">
        <v>29</v>
      </c>
      <c r="K39" s="11" t="s">
        <v>452</v>
      </c>
      <c r="L39" s="11" t="s">
        <v>276</v>
      </c>
      <c r="N39" s="4"/>
      <c r="O39" s="4"/>
      <c r="P39" s="4"/>
    </row>
    <row r="40" spans="1:16" ht="14.4" customHeight="1" x14ac:dyDescent="0.3">
      <c r="A40" s="11" t="str">
        <f t="shared" si="3"/>
        <v>Anti-Ki67-Bv510; Clone B56</v>
      </c>
      <c r="B40" s="11" t="s">
        <v>259</v>
      </c>
      <c r="C40" s="11" t="str">
        <f t="shared" si="4"/>
        <v>Cat#563462; RRID : AB_2738221</v>
      </c>
      <c r="D40" s="12" t="s">
        <v>211</v>
      </c>
      <c r="E40" s="13" t="s">
        <v>397</v>
      </c>
      <c r="F40" s="13" t="s">
        <v>398</v>
      </c>
      <c r="G40" s="14" t="str">
        <f t="shared" si="5"/>
        <v>AB_2738221</v>
      </c>
      <c r="H40" s="11" t="s">
        <v>122</v>
      </c>
      <c r="I40" s="11" t="s">
        <v>28</v>
      </c>
      <c r="J40" s="11" t="s">
        <v>9</v>
      </c>
      <c r="K40" s="11" t="s">
        <v>454</v>
      </c>
      <c r="L40" s="11" t="s">
        <v>276</v>
      </c>
      <c r="N40" s="4"/>
      <c r="O40" s="4"/>
      <c r="P40" s="4"/>
    </row>
    <row r="41" spans="1:16" s="2" customFormat="1" ht="14.4" customHeight="1" x14ac:dyDescent="0.3">
      <c r="A41" s="11" t="str">
        <f t="shared" si="3"/>
        <v>Anti-Ki67-Bv786; Clone B5</v>
      </c>
      <c r="B41" s="11" t="s">
        <v>3</v>
      </c>
      <c r="C41" s="11" t="str">
        <f t="shared" si="4"/>
        <v>Cat#563756; RRID : AB_2732007</v>
      </c>
      <c r="D41" s="12" t="s">
        <v>212</v>
      </c>
      <c r="E41" s="13" t="s">
        <v>399</v>
      </c>
      <c r="F41" s="13" t="s">
        <v>400</v>
      </c>
      <c r="G41" s="14" t="str">
        <f t="shared" si="5"/>
        <v>AB_2732007</v>
      </c>
      <c r="H41" s="11" t="s">
        <v>122</v>
      </c>
      <c r="I41" s="11" t="s">
        <v>28</v>
      </c>
      <c r="J41" s="11" t="s">
        <v>73</v>
      </c>
      <c r="K41" s="11" t="s">
        <v>455</v>
      </c>
      <c r="L41" s="11" t="s">
        <v>276</v>
      </c>
      <c r="N41" s="4"/>
      <c r="O41" s="4"/>
      <c r="P41" s="4"/>
    </row>
    <row r="42" spans="1:16" s="2" customFormat="1" ht="14.4" customHeight="1" x14ac:dyDescent="0.3">
      <c r="A42" s="11" t="str">
        <f t="shared" si="3"/>
        <v>Anti-LAG3-Bv650; Clone 11C3C65</v>
      </c>
      <c r="B42" s="11" t="s">
        <v>3</v>
      </c>
      <c r="C42" s="11" t="str">
        <f t="shared" si="4"/>
        <v>Cat#369316; RRID : AB_2632951</v>
      </c>
      <c r="D42" s="12" t="s">
        <v>151</v>
      </c>
      <c r="E42" s="13" t="s">
        <v>292</v>
      </c>
      <c r="F42" s="13" t="s">
        <v>293</v>
      </c>
      <c r="G42" s="14" t="str">
        <f t="shared" si="5"/>
        <v>AB_2632951</v>
      </c>
      <c r="H42" s="11" t="s">
        <v>122</v>
      </c>
      <c r="I42" s="11" t="s">
        <v>57</v>
      </c>
      <c r="J42" s="11" t="s">
        <v>26</v>
      </c>
      <c r="K42" s="11" t="s">
        <v>406</v>
      </c>
      <c r="L42" s="11" t="s">
        <v>276</v>
      </c>
      <c r="N42" s="4"/>
      <c r="O42" s="4"/>
      <c r="P42" s="4"/>
    </row>
    <row r="43" spans="1:16" s="2" customFormat="1" ht="14.4" customHeight="1" x14ac:dyDescent="0.3">
      <c r="A43" s="11" t="str">
        <f t="shared" si="3"/>
        <v>Anti-PD1-Bv510; Clone EH12.1</v>
      </c>
      <c r="B43" s="11" t="s">
        <v>259</v>
      </c>
      <c r="C43" s="11" t="str">
        <f t="shared" si="4"/>
        <v>Cat#563076; RRID : AB_2737990</v>
      </c>
      <c r="D43" s="12" t="s">
        <v>192</v>
      </c>
      <c r="E43" s="13" t="s">
        <v>360</v>
      </c>
      <c r="F43" s="13" t="s">
        <v>361</v>
      </c>
      <c r="G43" s="14" t="str">
        <f t="shared" si="5"/>
        <v>AB_2737990</v>
      </c>
      <c r="H43" s="11" t="s">
        <v>122</v>
      </c>
      <c r="I43" s="11" t="s">
        <v>14</v>
      </c>
      <c r="J43" s="11" t="s">
        <v>9</v>
      </c>
      <c r="K43" s="11" t="s">
        <v>438</v>
      </c>
      <c r="L43" s="11" t="s">
        <v>276</v>
      </c>
      <c r="N43" s="4"/>
      <c r="O43" s="4"/>
      <c r="P43" s="4"/>
    </row>
    <row r="44" spans="1:16" s="2" customFormat="1" ht="14.4" customHeight="1" x14ac:dyDescent="0.3">
      <c r="A44" s="11" t="str">
        <f t="shared" si="3"/>
        <v>Anti-PD1-Bv785; Clone EH12.2H7</v>
      </c>
      <c r="B44" s="11" t="s">
        <v>3</v>
      </c>
      <c r="C44" s="11" t="str">
        <f t="shared" si="4"/>
        <v>Cat#329930; RRID : AB_2563443</v>
      </c>
      <c r="D44" s="12" t="s">
        <v>191</v>
      </c>
      <c r="E44" s="13" t="s">
        <v>358</v>
      </c>
      <c r="F44" s="13" t="s">
        <v>359</v>
      </c>
      <c r="G44" s="14" t="str">
        <f t="shared" si="5"/>
        <v>AB_2563443</v>
      </c>
      <c r="H44" s="11" t="s">
        <v>122</v>
      </c>
      <c r="I44" s="11" t="s">
        <v>14</v>
      </c>
      <c r="J44" s="11" t="s">
        <v>21</v>
      </c>
      <c r="K44" s="11" t="s">
        <v>437</v>
      </c>
      <c r="L44" s="11" t="s">
        <v>276</v>
      </c>
      <c r="N44" s="4"/>
      <c r="O44" s="4"/>
      <c r="P44" s="4"/>
    </row>
    <row r="45" spans="1:16" ht="14.4" customHeight="1" x14ac:dyDescent="0.3">
      <c r="A45" s="11" t="str">
        <f t="shared" si="3"/>
        <v>Anti-PD1-PeCy7; Clone EH12.1</v>
      </c>
      <c r="B45" s="11" t="s">
        <v>259</v>
      </c>
      <c r="C45" s="11" t="str">
        <f t="shared" si="4"/>
        <v>Cat#561272; RRID : AB_10611585</v>
      </c>
      <c r="D45" s="12" t="s">
        <v>193</v>
      </c>
      <c r="E45" s="13" t="s">
        <v>362</v>
      </c>
      <c r="F45" s="13" t="s">
        <v>363</v>
      </c>
      <c r="G45" s="14" t="str">
        <f t="shared" si="5"/>
        <v>AB_10611585</v>
      </c>
      <c r="H45" s="11" t="s">
        <v>122</v>
      </c>
      <c r="I45" s="11" t="s">
        <v>14</v>
      </c>
      <c r="J45" s="11" t="s">
        <v>20</v>
      </c>
      <c r="K45" s="11" t="s">
        <v>438</v>
      </c>
      <c r="L45" s="11" t="s">
        <v>276</v>
      </c>
      <c r="N45" s="4"/>
      <c r="O45" s="4"/>
      <c r="P45" s="4"/>
    </row>
    <row r="46" spans="1:16" ht="14.4" customHeight="1" x14ac:dyDescent="0.3">
      <c r="A46" s="11" t="str">
        <f t="shared" si="3"/>
        <v>Anti-Perforine-PE; Clone dG9</v>
      </c>
      <c r="B46" s="11" t="s">
        <v>3</v>
      </c>
      <c r="C46" s="11" t="str">
        <f t="shared" si="4"/>
        <v>Cat#308106; RRID : AB_314704</v>
      </c>
      <c r="D46" s="12" t="s">
        <v>172</v>
      </c>
      <c r="E46" s="13" t="s">
        <v>328</v>
      </c>
      <c r="F46" s="13" t="s">
        <v>329</v>
      </c>
      <c r="G46" s="14" t="str">
        <f t="shared" si="5"/>
        <v>AB_314704</v>
      </c>
      <c r="H46" s="11" t="s">
        <v>122</v>
      </c>
      <c r="I46" s="11" t="s">
        <v>72</v>
      </c>
      <c r="J46" s="11" t="s">
        <v>6</v>
      </c>
      <c r="K46" s="11" t="s">
        <v>426</v>
      </c>
      <c r="L46" s="11" t="s">
        <v>276</v>
      </c>
      <c r="N46" s="4"/>
      <c r="O46" s="4"/>
      <c r="P46" s="4"/>
    </row>
    <row r="47" spans="1:16" ht="14.4" customHeight="1" x14ac:dyDescent="0.3">
      <c r="A47" s="11" t="str">
        <f t="shared" si="3"/>
        <v>Anti-TCF1-A647; Clone 7F11A10</v>
      </c>
      <c r="B47" s="11" t="s">
        <v>3</v>
      </c>
      <c r="C47" s="11" t="str">
        <f t="shared" si="4"/>
        <v>Cat#655204; RRID : AB_2566620</v>
      </c>
      <c r="D47" s="12" t="s">
        <v>162</v>
      </c>
      <c r="E47" s="13" t="s">
        <v>310</v>
      </c>
      <c r="F47" s="13" t="s">
        <v>311</v>
      </c>
      <c r="G47" s="14" t="str">
        <f t="shared" si="5"/>
        <v>AB_2566620</v>
      </c>
      <c r="H47" s="11" t="s">
        <v>122</v>
      </c>
      <c r="I47" s="11" t="s">
        <v>41</v>
      </c>
      <c r="J47" s="11" t="s">
        <v>37</v>
      </c>
      <c r="K47" s="11" t="s">
        <v>418</v>
      </c>
      <c r="L47" s="11" t="s">
        <v>276</v>
      </c>
      <c r="N47" s="4"/>
      <c r="O47" s="4"/>
      <c r="P47" s="4"/>
    </row>
    <row r="48" spans="1:16" s="2" customFormat="1" ht="14.4" customHeight="1" x14ac:dyDescent="0.3">
      <c r="A48" s="11" t="str">
        <f t="shared" si="3"/>
        <v>Anti-TCF1-PE; Clone 7F11A10</v>
      </c>
      <c r="B48" s="11" t="s">
        <v>3</v>
      </c>
      <c r="C48" s="11" t="str">
        <f t="shared" si="4"/>
        <v>Cat#655208; RRID : AB_2728492</v>
      </c>
      <c r="D48" s="12" t="s">
        <v>163</v>
      </c>
      <c r="E48" s="13" t="s">
        <v>312</v>
      </c>
      <c r="F48" s="13" t="s">
        <v>313</v>
      </c>
      <c r="G48" s="14" t="str">
        <f t="shared" si="5"/>
        <v>AB_2728492</v>
      </c>
      <c r="H48" s="11" t="s">
        <v>122</v>
      </c>
      <c r="I48" s="11" t="s">
        <v>41</v>
      </c>
      <c r="J48" s="11" t="s">
        <v>6</v>
      </c>
      <c r="K48" s="11" t="s">
        <v>418</v>
      </c>
      <c r="L48" s="11" t="s">
        <v>276</v>
      </c>
      <c r="N48" s="4"/>
      <c r="O48" s="4"/>
      <c r="P48" s="4"/>
    </row>
    <row r="49" spans="1:16" ht="14.4" customHeight="1" outlineLevel="1" x14ac:dyDescent="0.3">
      <c r="A49" s="11" t="str">
        <f t="shared" si="3"/>
        <v>Anti-TIGIT-Bv650; Clone TgMab-2</v>
      </c>
      <c r="B49" s="11" t="s">
        <v>259</v>
      </c>
      <c r="C49" s="11" t="str">
        <f t="shared" si="4"/>
        <v>Cat#570378; RRID : AB_3685699</v>
      </c>
      <c r="D49" s="12" t="s">
        <v>152</v>
      </c>
      <c r="E49" s="13" t="s">
        <v>294</v>
      </c>
      <c r="F49" s="13" t="s">
        <v>295</v>
      </c>
      <c r="G49" s="14" t="str">
        <f t="shared" si="5"/>
        <v>AB_3685699</v>
      </c>
      <c r="H49" s="11" t="s">
        <v>122</v>
      </c>
      <c r="I49" s="11" t="s">
        <v>50</v>
      </c>
      <c r="J49" s="11" t="s">
        <v>26</v>
      </c>
      <c r="K49" s="11" t="s">
        <v>408</v>
      </c>
      <c r="L49" s="11" t="s">
        <v>276</v>
      </c>
      <c r="N49" s="4"/>
      <c r="O49" s="4"/>
      <c r="P49" s="4"/>
    </row>
    <row r="50" spans="1:16" s="2" customFormat="1" ht="14.4" customHeight="1" outlineLevel="1" x14ac:dyDescent="0.3">
      <c r="A50" s="11" t="str">
        <f t="shared" si="3"/>
        <v>Anti-TIM3-Bv421; Clone F38-2E2</v>
      </c>
      <c r="B50" s="11" t="s">
        <v>3</v>
      </c>
      <c r="C50" s="11" t="str">
        <f t="shared" si="4"/>
        <v>Cat#345008; RRID : AB_11218598</v>
      </c>
      <c r="D50" s="12" t="s">
        <v>153</v>
      </c>
      <c r="E50" s="13" t="s">
        <v>296</v>
      </c>
      <c r="F50" s="13" t="s">
        <v>297</v>
      </c>
      <c r="G50" s="14" t="str">
        <f t="shared" si="5"/>
        <v>AB_11218598</v>
      </c>
      <c r="H50" s="11" t="s">
        <v>122</v>
      </c>
      <c r="I50" s="11" t="s">
        <v>48</v>
      </c>
      <c r="J50" s="11" t="s">
        <v>24</v>
      </c>
      <c r="K50" s="11" t="s">
        <v>407</v>
      </c>
      <c r="L50" s="11" t="s">
        <v>276</v>
      </c>
      <c r="N50" s="4"/>
      <c r="O50" s="4"/>
      <c r="P50" s="4"/>
    </row>
    <row r="51" spans="1:16" s="2" customFormat="1" ht="14.4" customHeight="1" outlineLevel="1" x14ac:dyDescent="0.3">
      <c r="A51" s="11" t="str">
        <f t="shared" si="3"/>
        <v>Anti-TNFα-FITC; Clone MAb11</v>
      </c>
      <c r="B51" s="11" t="s">
        <v>259</v>
      </c>
      <c r="C51" s="11" t="str">
        <f t="shared" si="4"/>
        <v>Cat#554512; RRID : AB_395443</v>
      </c>
      <c r="D51" s="12" t="s">
        <v>196</v>
      </c>
      <c r="E51" s="13" t="s">
        <v>368</v>
      </c>
      <c r="F51" s="13" t="s">
        <v>369</v>
      </c>
      <c r="G51" s="14" t="str">
        <f t="shared" si="5"/>
        <v>AB_395443</v>
      </c>
      <c r="H51" s="11" t="s">
        <v>122</v>
      </c>
      <c r="I51" s="11" t="s">
        <v>17</v>
      </c>
      <c r="J51" s="11" t="s">
        <v>10</v>
      </c>
      <c r="K51" s="11" t="s">
        <v>441</v>
      </c>
      <c r="L51" s="11" t="s">
        <v>276</v>
      </c>
      <c r="N51" s="4"/>
      <c r="O51" s="4"/>
      <c r="P51" s="4"/>
    </row>
    <row r="52" spans="1:16" s="2" customFormat="1" ht="14.4" customHeight="1" outlineLevel="1" x14ac:dyDescent="0.3">
      <c r="A52" s="11" t="str">
        <f t="shared" si="3"/>
        <v>Anti-TOX-A488; Clone NAN448B</v>
      </c>
      <c r="B52" s="11" t="s">
        <v>259</v>
      </c>
      <c r="C52" s="11" t="str">
        <f t="shared" si="4"/>
        <v>Cat#569896; RRID : AB_3685396</v>
      </c>
      <c r="D52" s="12" t="s">
        <v>164</v>
      </c>
      <c r="E52" s="13" t="s">
        <v>314</v>
      </c>
      <c r="F52" s="13" t="s">
        <v>315</v>
      </c>
      <c r="G52" s="14" t="str">
        <f t="shared" si="5"/>
        <v>AB_3685396</v>
      </c>
      <c r="H52" s="11" t="s">
        <v>122</v>
      </c>
      <c r="I52" s="11" t="s">
        <v>46</v>
      </c>
      <c r="J52" s="11" t="s">
        <v>29</v>
      </c>
      <c r="K52" s="11" t="s">
        <v>419</v>
      </c>
      <c r="L52" s="11" t="s">
        <v>276</v>
      </c>
      <c r="N52" s="4"/>
      <c r="O52" s="4"/>
      <c r="P52" s="4"/>
    </row>
    <row r="53" spans="1:16" ht="14.4" customHeight="1" outlineLevel="1" x14ac:dyDescent="0.3">
      <c r="A53" s="11" t="str">
        <f t="shared" si="3"/>
        <v>Anti-TOX-A647; Clone NAN448B</v>
      </c>
      <c r="B53" s="11" t="s">
        <v>259</v>
      </c>
      <c r="C53" s="11" t="str">
        <f t="shared" si="4"/>
        <v>Cat#568356; RRID : AB_3684207</v>
      </c>
      <c r="D53" s="12" t="s">
        <v>165</v>
      </c>
      <c r="E53" s="13" t="s">
        <v>316</v>
      </c>
      <c r="F53" s="13" t="s">
        <v>317</v>
      </c>
      <c r="G53" s="14" t="str">
        <f t="shared" si="5"/>
        <v>AB_3684207</v>
      </c>
      <c r="H53" s="11" t="s">
        <v>122</v>
      </c>
      <c r="I53" s="11" t="s">
        <v>46</v>
      </c>
      <c r="J53" s="11" t="s">
        <v>37</v>
      </c>
      <c r="K53" s="11" t="s">
        <v>419</v>
      </c>
      <c r="L53" s="11" t="s">
        <v>276</v>
      </c>
      <c r="N53" s="4"/>
      <c r="O53" s="4"/>
      <c r="P53" s="4"/>
    </row>
    <row r="54" spans="1:16" s="2" customFormat="1" ht="14.4" customHeight="1" outlineLevel="1" x14ac:dyDescent="0.3">
      <c r="A54" s="11" t="str">
        <f t="shared" si="3"/>
        <v>Anti-4-1BB-PE; Clone 4B4-1</v>
      </c>
      <c r="B54" s="11" t="s">
        <v>3</v>
      </c>
      <c r="C54" s="11" t="str">
        <f t="shared" si="4"/>
        <v>Cat#309804; RRID : AB_314783</v>
      </c>
      <c r="D54" s="12" t="s">
        <v>127</v>
      </c>
      <c r="E54" s="13" t="s">
        <v>233</v>
      </c>
      <c r="F54" s="15" t="s">
        <v>215</v>
      </c>
      <c r="G54" s="14" t="str">
        <f t="shared" si="5"/>
        <v>AB_314783</v>
      </c>
      <c r="H54" s="11" t="s">
        <v>122</v>
      </c>
      <c r="I54" s="11" t="s">
        <v>31</v>
      </c>
      <c r="J54" s="11" t="s">
        <v>6</v>
      </c>
      <c r="K54" s="11" t="s">
        <v>256</v>
      </c>
      <c r="L54" s="11" t="s">
        <v>275</v>
      </c>
      <c r="N54" s="4"/>
      <c r="O54" s="4"/>
      <c r="P54" s="4"/>
    </row>
    <row r="55" spans="1:16" s="2" customFormat="1" ht="14.4" customHeight="1" outlineLevel="1" x14ac:dyDescent="0.3">
      <c r="A55" s="11" t="str">
        <f t="shared" si="3"/>
        <v>Anti-BLIMP-1-PE; Clone 6D3</v>
      </c>
      <c r="B55" s="11" t="s">
        <v>3</v>
      </c>
      <c r="C55" s="11" t="str">
        <f t="shared" si="4"/>
        <v>Cat#564702; RRID : AB_2738901</v>
      </c>
      <c r="D55" s="12" t="s">
        <v>167</v>
      </c>
      <c r="E55" s="13" t="s">
        <v>320</v>
      </c>
      <c r="F55" s="13" t="s">
        <v>321</v>
      </c>
      <c r="G55" s="14" t="str">
        <f t="shared" si="5"/>
        <v>AB_2738901</v>
      </c>
      <c r="H55" s="11" t="s">
        <v>122</v>
      </c>
      <c r="I55" s="11" t="s">
        <v>75</v>
      </c>
      <c r="J55" s="11" t="s">
        <v>6</v>
      </c>
      <c r="K55" s="11" t="s">
        <v>422</v>
      </c>
      <c r="L55" s="11" t="s">
        <v>275</v>
      </c>
      <c r="N55" s="4"/>
      <c r="O55" s="4"/>
      <c r="P55" s="4"/>
    </row>
    <row r="56" spans="1:16" s="2" customFormat="1" ht="14.4" customHeight="1" outlineLevel="1" x14ac:dyDescent="0.3">
      <c r="A56" s="11" t="str">
        <f t="shared" si="3"/>
        <v>Anti-CCR4-PeCy7; Clone 1G1</v>
      </c>
      <c r="B56" s="11" t="s">
        <v>259</v>
      </c>
      <c r="C56" s="11" t="str">
        <f t="shared" si="4"/>
        <v>Cat#557864; RRID : AB_396907</v>
      </c>
      <c r="D56" s="12" t="s">
        <v>143</v>
      </c>
      <c r="E56" s="13" t="s">
        <v>249</v>
      </c>
      <c r="F56" s="13" t="s">
        <v>231</v>
      </c>
      <c r="G56" s="14" t="str">
        <f t="shared" si="5"/>
        <v>AB_396907</v>
      </c>
      <c r="H56" s="11" t="s">
        <v>122</v>
      </c>
      <c r="I56" s="11" t="s">
        <v>69</v>
      </c>
      <c r="J56" s="11" t="s">
        <v>20</v>
      </c>
      <c r="K56" s="11" t="s">
        <v>272</v>
      </c>
      <c r="L56" s="11" t="s">
        <v>275</v>
      </c>
      <c r="N56" s="4"/>
      <c r="O56" s="4"/>
      <c r="P56" s="4"/>
    </row>
    <row r="57" spans="1:16" ht="14.4" customHeight="1" outlineLevel="1" x14ac:dyDescent="0.3">
      <c r="A57" s="11" t="str">
        <f t="shared" si="3"/>
        <v>Anti-CCR6-Bv421; Clone 11A9</v>
      </c>
      <c r="B57" s="11" t="s">
        <v>259</v>
      </c>
      <c r="C57" s="11" t="str">
        <f t="shared" si="4"/>
        <v>Cat#562515; RRID : AB_11154229</v>
      </c>
      <c r="D57" s="12" t="s">
        <v>142</v>
      </c>
      <c r="E57" s="13" t="s">
        <v>248</v>
      </c>
      <c r="F57" s="13" t="s">
        <v>230</v>
      </c>
      <c r="G57" s="14" t="str">
        <f t="shared" si="5"/>
        <v>AB_11154229</v>
      </c>
      <c r="H57" s="11" t="s">
        <v>122</v>
      </c>
      <c r="I57" s="11" t="s">
        <v>68</v>
      </c>
      <c r="J57" s="11" t="s">
        <v>24</v>
      </c>
      <c r="K57" s="11" t="s">
        <v>271</v>
      </c>
      <c r="L57" s="11" t="s">
        <v>275</v>
      </c>
      <c r="N57" s="4"/>
      <c r="O57" s="4"/>
      <c r="P57" s="4"/>
    </row>
    <row r="58" spans="1:16" ht="14.4" customHeight="1" outlineLevel="1" x14ac:dyDescent="0.3">
      <c r="A58" s="11" t="str">
        <f t="shared" si="3"/>
        <v>Anti-CCR7-FITC; Clone 150503</v>
      </c>
      <c r="B58" s="11" t="s">
        <v>62</v>
      </c>
      <c r="C58" s="11" t="str">
        <f t="shared" si="4"/>
        <v>Cat#FAB197F; RRID : AB_2259847</v>
      </c>
      <c r="D58" s="12" t="s">
        <v>201</v>
      </c>
      <c r="E58" s="13" t="s">
        <v>378</v>
      </c>
      <c r="F58" s="13" t="s">
        <v>379</v>
      </c>
      <c r="G58" s="14" t="str">
        <f t="shared" si="5"/>
        <v>AB_2259847</v>
      </c>
      <c r="H58" s="11" t="s">
        <v>122</v>
      </c>
      <c r="I58" s="11" t="s">
        <v>53</v>
      </c>
      <c r="J58" s="11" t="s">
        <v>10</v>
      </c>
      <c r="K58" s="11" t="s">
        <v>446</v>
      </c>
      <c r="L58" s="11" t="s">
        <v>275</v>
      </c>
      <c r="N58" s="4"/>
      <c r="O58" s="4"/>
      <c r="P58" s="4"/>
    </row>
    <row r="59" spans="1:16" ht="14.4" customHeight="1" outlineLevel="1" x14ac:dyDescent="0.3">
      <c r="A59" s="11" t="str">
        <f t="shared" si="3"/>
        <v>Anti-CCR7-FITC; Clone G043H7</v>
      </c>
      <c r="B59" s="11" t="s">
        <v>3</v>
      </c>
      <c r="C59" s="11" t="str">
        <f t="shared" si="4"/>
        <v>Cat#353216; RRID : AB_10916386</v>
      </c>
      <c r="D59" s="12" t="s">
        <v>200</v>
      </c>
      <c r="E59" s="13" t="s">
        <v>376</v>
      </c>
      <c r="F59" s="13" t="s">
        <v>377</v>
      </c>
      <c r="G59" s="14" t="str">
        <f t="shared" si="5"/>
        <v>AB_10916386</v>
      </c>
      <c r="H59" s="11" t="s">
        <v>122</v>
      </c>
      <c r="I59" s="11" t="s">
        <v>53</v>
      </c>
      <c r="J59" s="11" t="s">
        <v>10</v>
      </c>
      <c r="K59" s="11" t="s">
        <v>445</v>
      </c>
      <c r="L59" s="11" t="s">
        <v>275</v>
      </c>
      <c r="N59" s="4"/>
      <c r="O59" s="4"/>
      <c r="P59" s="4"/>
    </row>
    <row r="60" spans="1:16" ht="14.4" customHeight="1" outlineLevel="1" x14ac:dyDescent="0.3">
      <c r="A60" s="11" t="str">
        <f t="shared" si="3"/>
        <v>Anti-CD14-Bv605; Clone M5E2</v>
      </c>
      <c r="B60" s="11" t="s">
        <v>259</v>
      </c>
      <c r="C60" s="11" t="str">
        <f t="shared" si="4"/>
        <v>Cat#564054; RRID : AB_2687593</v>
      </c>
      <c r="D60" s="12" t="s">
        <v>147</v>
      </c>
      <c r="E60" s="13" t="s">
        <v>285</v>
      </c>
      <c r="F60" s="13" t="s">
        <v>286</v>
      </c>
      <c r="G60" s="14" t="str">
        <f t="shared" si="5"/>
        <v>AB_2687593</v>
      </c>
      <c r="H60" s="11" t="s">
        <v>122</v>
      </c>
      <c r="I60" s="11" t="s">
        <v>82</v>
      </c>
      <c r="J60" s="11" t="s">
        <v>22</v>
      </c>
      <c r="K60" s="11" t="s">
        <v>402</v>
      </c>
      <c r="L60" s="11" t="s">
        <v>275</v>
      </c>
      <c r="N60" s="4"/>
      <c r="O60" s="4"/>
      <c r="P60" s="4"/>
    </row>
    <row r="61" spans="1:16" s="2" customFormat="1" ht="14.4" customHeight="1" outlineLevel="1" x14ac:dyDescent="0.3">
      <c r="A61" s="11" t="str">
        <f t="shared" si="3"/>
        <v>Anti-CD25-PeCy7; Clone BC96</v>
      </c>
      <c r="B61" s="11" t="s">
        <v>3</v>
      </c>
      <c r="C61" s="11" t="str">
        <f t="shared" si="4"/>
        <v>Cat#302612; RRID : AB_314282</v>
      </c>
      <c r="D61" s="12" t="s">
        <v>203</v>
      </c>
      <c r="E61" s="13" t="s">
        <v>382</v>
      </c>
      <c r="F61" s="13" t="s">
        <v>383</v>
      </c>
      <c r="G61" s="14" t="str">
        <f t="shared" si="5"/>
        <v>AB_314282</v>
      </c>
      <c r="H61" s="11" t="s">
        <v>122</v>
      </c>
      <c r="I61" s="11" t="s">
        <v>58</v>
      </c>
      <c r="J61" s="11" t="s">
        <v>20</v>
      </c>
      <c r="K61" s="11" t="s">
        <v>448</v>
      </c>
      <c r="L61" s="11" t="s">
        <v>275</v>
      </c>
      <c r="N61" s="4"/>
      <c r="O61" s="4"/>
      <c r="P61" s="4"/>
    </row>
    <row r="62" spans="1:16" ht="14.4" customHeight="1" outlineLevel="1" x14ac:dyDescent="0.3">
      <c r="A62" s="11" t="str">
        <f t="shared" si="3"/>
        <v>Anti-CD28-A700; Clone CD28.2</v>
      </c>
      <c r="B62" s="11" t="s">
        <v>3</v>
      </c>
      <c r="C62" s="11" t="str">
        <f t="shared" si="4"/>
        <v>Cat#302920; RRID : AB_528786</v>
      </c>
      <c r="D62" s="12" t="s">
        <v>205</v>
      </c>
      <c r="E62" s="13" t="s">
        <v>386</v>
      </c>
      <c r="F62" s="13" t="s">
        <v>387</v>
      </c>
      <c r="G62" s="14" t="str">
        <f t="shared" si="5"/>
        <v>AB_528786</v>
      </c>
      <c r="H62" s="11" t="s">
        <v>122</v>
      </c>
      <c r="I62" s="11" t="s">
        <v>27</v>
      </c>
      <c r="J62" s="11" t="s">
        <v>15</v>
      </c>
      <c r="K62" s="11" t="s">
        <v>450</v>
      </c>
      <c r="L62" s="11" t="s">
        <v>275</v>
      </c>
      <c r="N62" s="4"/>
      <c r="O62" s="4"/>
      <c r="P62" s="4"/>
    </row>
    <row r="63" spans="1:16" ht="14.4" customHeight="1" outlineLevel="1" x14ac:dyDescent="0.3">
      <c r="A63" s="11" t="str">
        <f t="shared" si="3"/>
        <v>Anti-CD33-Bv510; Clone WM53</v>
      </c>
      <c r="B63" s="11" t="s">
        <v>259</v>
      </c>
      <c r="C63" s="11" t="str">
        <f t="shared" si="4"/>
        <v>Cat#563257; RRID : AB_2738102</v>
      </c>
      <c r="D63" s="12" t="s">
        <v>148</v>
      </c>
      <c r="E63" s="13" t="s">
        <v>287</v>
      </c>
      <c r="F63" s="13" t="s">
        <v>288</v>
      </c>
      <c r="G63" s="14" t="str">
        <f t="shared" si="5"/>
        <v>AB_2738102</v>
      </c>
      <c r="H63" s="11" t="s">
        <v>122</v>
      </c>
      <c r="I63" s="11" t="s">
        <v>83</v>
      </c>
      <c r="J63" s="11" t="s">
        <v>9</v>
      </c>
      <c r="K63" s="11" t="s">
        <v>403</v>
      </c>
      <c r="L63" s="11" t="s">
        <v>275</v>
      </c>
      <c r="N63" s="4"/>
      <c r="O63" s="4"/>
      <c r="P63" s="4"/>
    </row>
    <row r="64" spans="1:16" ht="14.4" customHeight="1" outlineLevel="1" x14ac:dyDescent="0.3">
      <c r="A64" s="11" t="str">
        <f t="shared" si="3"/>
        <v>Anti-CD41-PB; Clone HIP8</v>
      </c>
      <c r="B64" s="11" t="s">
        <v>3</v>
      </c>
      <c r="C64" s="11" t="str">
        <f t="shared" si="4"/>
        <v>Cat#303714; RRID : AB_10696421</v>
      </c>
      <c r="D64" s="12" t="s">
        <v>134</v>
      </c>
      <c r="E64" s="13" t="s">
        <v>240</v>
      </c>
      <c r="F64" s="13" t="s">
        <v>222</v>
      </c>
      <c r="G64" s="14" t="str">
        <f t="shared" si="5"/>
        <v>AB_10696421</v>
      </c>
      <c r="H64" s="11" t="s">
        <v>122</v>
      </c>
      <c r="I64" s="11" t="s">
        <v>33</v>
      </c>
      <c r="J64" s="11" t="s">
        <v>36</v>
      </c>
      <c r="K64" s="11" t="s">
        <v>263</v>
      </c>
      <c r="L64" s="11" t="s">
        <v>275</v>
      </c>
      <c r="N64" s="4"/>
      <c r="O64" s="4"/>
      <c r="P64" s="4"/>
    </row>
    <row r="65" spans="1:16" ht="14.4" customHeight="1" outlineLevel="1" x14ac:dyDescent="0.3">
      <c r="A65" s="11" t="str">
        <f t="shared" si="3"/>
        <v>Anti-CD4-APC; Clone RPA-T4</v>
      </c>
      <c r="B65" s="11" t="s">
        <v>259</v>
      </c>
      <c r="C65" s="11" t="str">
        <f t="shared" si="4"/>
        <v>Cat#555349; RRID : AB_398593</v>
      </c>
      <c r="D65" s="12" t="s">
        <v>179</v>
      </c>
      <c r="E65" s="13" t="s">
        <v>336</v>
      </c>
      <c r="F65" s="13" t="s">
        <v>337</v>
      </c>
      <c r="G65" s="14" t="str">
        <f t="shared" si="5"/>
        <v>AB_398593</v>
      </c>
      <c r="H65" s="11" t="s">
        <v>122</v>
      </c>
      <c r="I65" s="11" t="s">
        <v>61</v>
      </c>
      <c r="J65" s="11" t="s">
        <v>18</v>
      </c>
      <c r="K65" s="11" t="s">
        <v>429</v>
      </c>
      <c r="L65" s="11" t="s">
        <v>275</v>
      </c>
      <c r="N65" s="4"/>
      <c r="O65" s="4"/>
      <c r="P65" s="4"/>
    </row>
    <row r="66" spans="1:16" ht="14.4" customHeight="1" outlineLevel="1" x14ac:dyDescent="0.3">
      <c r="A66" s="11" t="str">
        <f t="shared" ref="A66:A90" si="6">"Anti-" &amp; I66 &amp;  "-" &amp; J66 &amp; "; " &amp; K66</f>
        <v xml:space="preserve">Anti-CD4-FITC; </v>
      </c>
      <c r="B66" s="11" t="s">
        <v>7</v>
      </c>
      <c r="C66" s="11" t="str">
        <f t="shared" ref="C66:C97" si="7">D66 &amp; "RRID : " &amp; G66</f>
        <v>Cat#954.031.010; RRID : not registered</v>
      </c>
      <c r="D66" s="12" t="s">
        <v>178</v>
      </c>
      <c r="E66" s="13" t="s">
        <v>289</v>
      </c>
      <c r="F66" s="13"/>
      <c r="G66" s="14" t="str">
        <f t="shared" si="5"/>
        <v>not registered</v>
      </c>
      <c r="H66" s="11" t="s">
        <v>122</v>
      </c>
      <c r="I66" s="11" t="s">
        <v>61</v>
      </c>
      <c r="J66" s="11" t="s">
        <v>10</v>
      </c>
      <c r="K66" s="11"/>
      <c r="L66" s="11" t="s">
        <v>275</v>
      </c>
      <c r="N66" s="4"/>
      <c r="O66" s="4"/>
      <c r="P66" s="4"/>
    </row>
    <row r="67" spans="1:16" ht="14.4" customHeight="1" outlineLevel="1" x14ac:dyDescent="0.3">
      <c r="A67" s="11" t="str">
        <f t="shared" si="6"/>
        <v>Anti-CD4-PerCP5.5; Clone OKT4</v>
      </c>
      <c r="B67" s="11" t="s">
        <v>3</v>
      </c>
      <c r="C67" s="11" t="str">
        <f t="shared" si="7"/>
        <v>Cat#317428; RRID : AB_1186122</v>
      </c>
      <c r="D67" s="12" t="s">
        <v>180</v>
      </c>
      <c r="E67" s="13" t="s">
        <v>338</v>
      </c>
      <c r="F67" s="13" t="s">
        <v>339</v>
      </c>
      <c r="G67" s="14" t="str">
        <f t="shared" si="5"/>
        <v>AB_1186122</v>
      </c>
      <c r="H67" s="11" t="s">
        <v>122</v>
      </c>
      <c r="I67" s="11" t="s">
        <v>61</v>
      </c>
      <c r="J67" s="11" t="s">
        <v>63</v>
      </c>
      <c r="K67" s="11" t="s">
        <v>430</v>
      </c>
      <c r="L67" s="11" t="s">
        <v>275</v>
      </c>
      <c r="N67" s="4"/>
      <c r="O67" s="4"/>
      <c r="P67" s="4"/>
    </row>
    <row r="68" spans="1:16" ht="14.4" customHeight="1" outlineLevel="1" x14ac:dyDescent="0.3">
      <c r="A68" s="11" t="str">
        <f t="shared" si="6"/>
        <v>Anti-CD51/CD61-A488; Clone 23C6</v>
      </c>
      <c r="B68" s="11" t="s">
        <v>3</v>
      </c>
      <c r="C68" s="11" t="str">
        <f t="shared" si="7"/>
        <v>Cat#304408; RRID : AB_528843</v>
      </c>
      <c r="D68" s="12" t="s">
        <v>137</v>
      </c>
      <c r="E68" s="13" t="s">
        <v>243</v>
      </c>
      <c r="F68" s="13" t="s">
        <v>225</v>
      </c>
      <c r="G68" s="14" t="str">
        <f t="shared" si="5"/>
        <v>AB_528843</v>
      </c>
      <c r="H68" s="11" t="s">
        <v>122</v>
      </c>
      <c r="I68" s="11" t="s">
        <v>38</v>
      </c>
      <c r="J68" s="11" t="s">
        <v>29</v>
      </c>
      <c r="K68" s="11" t="s">
        <v>266</v>
      </c>
      <c r="L68" s="11" t="s">
        <v>275</v>
      </c>
      <c r="N68" s="4"/>
      <c r="O68" s="4"/>
      <c r="P68" s="4"/>
    </row>
    <row r="69" spans="1:16" ht="14.4" customHeight="1" outlineLevel="1" x14ac:dyDescent="0.3">
      <c r="A69" s="11" t="str">
        <f t="shared" si="6"/>
        <v>Anti-CD51-PE; Clone NKI-M9</v>
      </c>
      <c r="B69" s="11" t="s">
        <v>3</v>
      </c>
      <c r="C69" s="11" t="str">
        <f t="shared" si="7"/>
        <v>Cat#327910; RRID : AB_940564</v>
      </c>
      <c r="D69" s="12" t="s">
        <v>136</v>
      </c>
      <c r="E69" s="13" t="s">
        <v>242</v>
      </c>
      <c r="F69" s="13" t="s">
        <v>224</v>
      </c>
      <c r="G69" s="14" t="str">
        <f t="shared" si="5"/>
        <v>AB_940564</v>
      </c>
      <c r="H69" s="11" t="s">
        <v>122</v>
      </c>
      <c r="I69" s="11" t="s">
        <v>34</v>
      </c>
      <c r="J69" s="11" t="s">
        <v>6</v>
      </c>
      <c r="K69" s="11" t="s">
        <v>265</v>
      </c>
      <c r="L69" s="11" t="s">
        <v>275</v>
      </c>
      <c r="N69" s="4"/>
      <c r="O69" s="4"/>
      <c r="P69" s="4"/>
    </row>
    <row r="70" spans="1:16" ht="14.4" customHeight="1" outlineLevel="1" x14ac:dyDescent="0.3">
      <c r="A70" s="11" t="str">
        <f t="shared" si="6"/>
        <v>Anti-CD57-PED; Clone HNK-1</v>
      </c>
      <c r="B70" s="11" t="s">
        <v>3</v>
      </c>
      <c r="C70" s="11" t="str">
        <f t="shared" si="7"/>
        <v>Cat#359620; RRID : AB_2564063</v>
      </c>
      <c r="D70" s="12" t="s">
        <v>199</v>
      </c>
      <c r="E70" s="13" t="s">
        <v>374</v>
      </c>
      <c r="F70" s="13" t="s">
        <v>375</v>
      </c>
      <c r="G70" s="14" t="str">
        <f t="shared" si="5"/>
        <v>AB_2564063</v>
      </c>
      <c r="H70" s="11" t="s">
        <v>122</v>
      </c>
      <c r="I70" s="11" t="s">
        <v>80</v>
      </c>
      <c r="J70" s="11" t="s">
        <v>32</v>
      </c>
      <c r="K70" s="11" t="s">
        <v>444</v>
      </c>
      <c r="L70" s="11" t="s">
        <v>275</v>
      </c>
      <c r="N70" s="4"/>
      <c r="O70" s="4"/>
      <c r="P70" s="4"/>
    </row>
    <row r="71" spans="1:16" ht="14.4" customHeight="1" x14ac:dyDescent="0.3">
      <c r="A71" s="11" t="str">
        <f t="shared" si="6"/>
        <v>Anti-CD61-A647; Clone VI-PL2</v>
      </c>
      <c r="B71" s="11" t="s">
        <v>3</v>
      </c>
      <c r="C71" s="11" t="str">
        <f t="shared" si="7"/>
        <v>Cat#336408; RRID : AB_2128750</v>
      </c>
      <c r="D71" s="12" t="s">
        <v>138</v>
      </c>
      <c r="E71" s="13" t="s">
        <v>244</v>
      </c>
      <c r="F71" s="13" t="s">
        <v>226</v>
      </c>
      <c r="G71" s="14" t="str">
        <f t="shared" ref="G71:G102" si="8">HYPERLINK(F71,E71)</f>
        <v>AB_2128750</v>
      </c>
      <c r="H71" s="11" t="s">
        <v>122</v>
      </c>
      <c r="I71" s="11" t="s">
        <v>35</v>
      </c>
      <c r="J71" s="11" t="s">
        <v>37</v>
      </c>
      <c r="K71" s="11" t="s">
        <v>267</v>
      </c>
      <c r="L71" s="11" t="s">
        <v>275</v>
      </c>
      <c r="N71" s="4"/>
      <c r="O71" s="4"/>
      <c r="P71" s="4"/>
    </row>
    <row r="72" spans="1:16" ht="14.4" customHeight="1" x14ac:dyDescent="0.3">
      <c r="A72" s="11" t="str">
        <f t="shared" si="6"/>
        <v>Anti-CD69-FITC; Clone FN50</v>
      </c>
      <c r="B72" s="11" t="s">
        <v>3</v>
      </c>
      <c r="C72" s="11" t="str">
        <f t="shared" si="7"/>
        <v>Cat#310904; RRID : AB_314839</v>
      </c>
      <c r="D72" s="12" t="s">
        <v>185</v>
      </c>
      <c r="E72" s="13" t="s">
        <v>346</v>
      </c>
      <c r="F72" s="13" t="s">
        <v>347</v>
      </c>
      <c r="G72" s="14" t="str">
        <f t="shared" si="8"/>
        <v>AB_314839</v>
      </c>
      <c r="H72" s="11" t="s">
        <v>122</v>
      </c>
      <c r="I72" s="11" t="s">
        <v>11</v>
      </c>
      <c r="J72" s="11" t="s">
        <v>10</v>
      </c>
      <c r="K72" s="11" t="s">
        <v>433</v>
      </c>
      <c r="L72" s="11" t="s">
        <v>275</v>
      </c>
      <c r="N72" s="4"/>
      <c r="O72" s="4"/>
      <c r="P72" s="4"/>
    </row>
    <row r="73" spans="1:16" ht="14.4" customHeight="1" x14ac:dyDescent="0.3">
      <c r="A73" s="11" t="str">
        <f t="shared" si="6"/>
        <v>Anti-CD7-FITC; Clone CD7-6B7</v>
      </c>
      <c r="B73" s="11" t="s">
        <v>3</v>
      </c>
      <c r="C73" s="11" t="str">
        <f t="shared" si="7"/>
        <v>Cat#343104; RRID : AB_1659216</v>
      </c>
      <c r="D73" s="12" t="s">
        <v>131</v>
      </c>
      <c r="E73" s="13" t="s">
        <v>237</v>
      </c>
      <c r="F73" s="13" t="s">
        <v>219</v>
      </c>
      <c r="G73" s="14" t="str">
        <f t="shared" si="8"/>
        <v>AB_1659216</v>
      </c>
      <c r="H73" s="11" t="s">
        <v>122</v>
      </c>
      <c r="I73" s="11" t="s">
        <v>74</v>
      </c>
      <c r="J73" s="11" t="s">
        <v>10</v>
      </c>
      <c r="K73" s="11" t="s">
        <v>260</v>
      </c>
      <c r="L73" s="11" t="s">
        <v>275</v>
      </c>
      <c r="N73" s="4"/>
      <c r="O73" s="4"/>
      <c r="P73" s="4"/>
    </row>
    <row r="74" spans="1:16" ht="14.4" customHeight="1" x14ac:dyDescent="0.3">
      <c r="A74" s="11" t="str">
        <f t="shared" si="6"/>
        <v>Anti-CD86-PE; Clone IT2.2</v>
      </c>
      <c r="B74" s="11" t="s">
        <v>3</v>
      </c>
      <c r="C74" s="11" t="str">
        <f t="shared" si="7"/>
        <v>Cat#305406; RRID : AB_314526</v>
      </c>
      <c r="D74" s="12" t="s">
        <v>146</v>
      </c>
      <c r="E74" s="13" t="s">
        <v>283</v>
      </c>
      <c r="F74" s="13" t="s">
        <v>284</v>
      </c>
      <c r="G74" s="14" t="str">
        <f t="shared" si="8"/>
        <v>AB_314526</v>
      </c>
      <c r="H74" s="11" t="s">
        <v>122</v>
      </c>
      <c r="I74" s="11" t="s">
        <v>79</v>
      </c>
      <c r="J74" s="11" t="s">
        <v>6</v>
      </c>
      <c r="K74" s="11" t="s">
        <v>401</v>
      </c>
      <c r="L74" s="11" t="s">
        <v>275</v>
      </c>
      <c r="N74" s="4"/>
      <c r="O74" s="4"/>
      <c r="P74" s="4"/>
    </row>
    <row r="75" spans="1:16" ht="14.4" customHeight="1" x14ac:dyDescent="0.3">
      <c r="A75" s="11" t="str">
        <f t="shared" si="6"/>
        <v>Anti-CD95-BB700; Clone DX2</v>
      </c>
      <c r="B75" s="11" t="s">
        <v>259</v>
      </c>
      <c r="C75" s="11" t="str">
        <f t="shared" si="7"/>
        <v>Cat#566542; RRID : AB_2869780</v>
      </c>
      <c r="D75" s="12" t="s">
        <v>150</v>
      </c>
      <c r="E75" s="13" t="s">
        <v>290</v>
      </c>
      <c r="F75" s="13" t="s">
        <v>291</v>
      </c>
      <c r="G75" s="14" t="str">
        <f t="shared" si="8"/>
        <v>AB_2869780</v>
      </c>
      <c r="H75" s="11" t="s">
        <v>122</v>
      </c>
      <c r="I75" s="11" t="s">
        <v>81</v>
      </c>
      <c r="J75" s="11" t="s">
        <v>5</v>
      </c>
      <c r="K75" s="11" t="s">
        <v>405</v>
      </c>
      <c r="L75" s="11" t="s">
        <v>275</v>
      </c>
      <c r="N75" s="4"/>
      <c r="O75" s="4"/>
      <c r="P75" s="4"/>
    </row>
    <row r="76" spans="1:16" s="2" customFormat="1" ht="14.4" customHeight="1" x14ac:dyDescent="0.3">
      <c r="A76" s="11" t="str">
        <f t="shared" si="6"/>
        <v xml:space="preserve">Anti-CXCR3-A488; </v>
      </c>
      <c r="B76" s="11"/>
      <c r="C76" s="11" t="str">
        <f t="shared" si="7"/>
        <v xml:space="preserve">Cat#; RRID : </v>
      </c>
      <c r="D76" s="12" t="s">
        <v>145</v>
      </c>
      <c r="E76" s="11"/>
      <c r="F76" s="11"/>
      <c r="G76" s="11"/>
      <c r="H76" s="11" t="s">
        <v>122</v>
      </c>
      <c r="I76" s="11" t="s">
        <v>70</v>
      </c>
      <c r="J76" s="11" t="s">
        <v>29</v>
      </c>
      <c r="K76" s="11"/>
      <c r="L76" s="11" t="s">
        <v>275</v>
      </c>
      <c r="N76" s="4"/>
      <c r="O76" s="4"/>
      <c r="P76" s="4"/>
    </row>
    <row r="77" spans="1:16" ht="14.4" customHeight="1" x14ac:dyDescent="0.3">
      <c r="A77" s="11" t="str">
        <f t="shared" si="6"/>
        <v>Anti-CXCR3-PE; Clone G025H7</v>
      </c>
      <c r="B77" s="11" t="s">
        <v>3</v>
      </c>
      <c r="C77" s="11" t="str">
        <f t="shared" si="7"/>
        <v>Cat#353706; RRID : AB_10962912</v>
      </c>
      <c r="D77" s="12" t="s">
        <v>144</v>
      </c>
      <c r="E77" s="13" t="s">
        <v>250</v>
      </c>
      <c r="F77" s="13" t="s">
        <v>232</v>
      </c>
      <c r="G77" s="14" t="str">
        <f t="shared" ref="G77:G89" si="9">HYPERLINK(F77,E77)</f>
        <v>AB_10962912</v>
      </c>
      <c r="H77" s="11" t="s">
        <v>122</v>
      </c>
      <c r="I77" s="11" t="s">
        <v>70</v>
      </c>
      <c r="J77" s="11" t="s">
        <v>6</v>
      </c>
      <c r="K77" s="11" t="s">
        <v>273</v>
      </c>
      <c r="L77" s="11" t="s">
        <v>275</v>
      </c>
      <c r="N77" s="4"/>
      <c r="O77" s="4"/>
      <c r="P77" s="4"/>
    </row>
    <row r="78" spans="1:16" s="2" customFormat="1" ht="14.4" customHeight="1" x14ac:dyDescent="0.3">
      <c r="A78" s="11" t="str">
        <f t="shared" si="6"/>
        <v>Anti-CXCR5-BB700; Clone RF8B2</v>
      </c>
      <c r="B78" s="11" t="s">
        <v>259</v>
      </c>
      <c r="C78" s="11" t="str">
        <f t="shared" si="7"/>
        <v>Cat#566469; RRID : AB_2869769</v>
      </c>
      <c r="D78" s="12" t="s">
        <v>141</v>
      </c>
      <c r="E78" s="13" t="s">
        <v>247</v>
      </c>
      <c r="F78" s="13" t="s">
        <v>229</v>
      </c>
      <c r="G78" s="14" t="str">
        <f t="shared" si="9"/>
        <v>AB_2869769</v>
      </c>
      <c r="H78" s="11" t="s">
        <v>122</v>
      </c>
      <c r="I78" s="11" t="s">
        <v>67</v>
      </c>
      <c r="J78" s="11" t="s">
        <v>5</v>
      </c>
      <c r="K78" s="11" t="s">
        <v>270</v>
      </c>
      <c r="L78" s="11" t="s">
        <v>275</v>
      </c>
      <c r="N78" s="4"/>
      <c r="O78" s="4"/>
      <c r="P78" s="4"/>
    </row>
    <row r="79" spans="1:16" ht="14.4" customHeight="1" x14ac:dyDescent="0.3">
      <c r="A79" s="11" t="str">
        <f t="shared" si="6"/>
        <v>Anti-CXCR6-A647; Clone K041E5</v>
      </c>
      <c r="B79" s="11" t="s">
        <v>3</v>
      </c>
      <c r="C79" s="11" t="str">
        <f t="shared" si="7"/>
        <v>Cat#356008; RRID : AB_2562225</v>
      </c>
      <c r="D79" s="11" t="s">
        <v>190</v>
      </c>
      <c r="E79" s="13" t="s">
        <v>356</v>
      </c>
      <c r="F79" s="13" t="s">
        <v>357</v>
      </c>
      <c r="G79" s="14" t="str">
        <f t="shared" si="9"/>
        <v>AB_2562225</v>
      </c>
      <c r="H79" s="11" t="s">
        <v>122</v>
      </c>
      <c r="I79" s="11" t="s">
        <v>13</v>
      </c>
      <c r="J79" s="11" t="s">
        <v>37</v>
      </c>
      <c r="K79" s="11" t="s">
        <v>436</v>
      </c>
      <c r="L79" s="11" t="s">
        <v>275</v>
      </c>
      <c r="N79" s="4"/>
      <c r="O79" s="4"/>
      <c r="P79" s="4"/>
    </row>
    <row r="80" spans="1:16" ht="14.4" customHeight="1" x14ac:dyDescent="0.3">
      <c r="A80" s="11" t="str">
        <f t="shared" si="6"/>
        <v>Anti-FOXP3-PE; Clone 259D/C7</v>
      </c>
      <c r="B80" s="11" t="s">
        <v>259</v>
      </c>
      <c r="C80" s="11" t="str">
        <f t="shared" si="7"/>
        <v>Cat#560046; RRID : AB_1645508</v>
      </c>
      <c r="D80" s="12" t="s">
        <v>166</v>
      </c>
      <c r="E80" s="13" t="s">
        <v>318</v>
      </c>
      <c r="F80" s="13" t="s">
        <v>319</v>
      </c>
      <c r="G80" s="14" t="str">
        <f t="shared" si="9"/>
        <v>AB_1645508</v>
      </c>
      <c r="H80" s="11" t="s">
        <v>122</v>
      </c>
      <c r="I80" s="11" t="s">
        <v>71</v>
      </c>
      <c r="J80" s="11" t="s">
        <v>6</v>
      </c>
      <c r="K80" s="11" t="s">
        <v>421</v>
      </c>
      <c r="L80" s="11" t="s">
        <v>275</v>
      </c>
      <c r="N80" s="4"/>
      <c r="O80" s="4"/>
      <c r="P80" s="4"/>
    </row>
    <row r="81" spans="1:16" ht="14.4" customHeight="1" x14ac:dyDescent="0.3">
      <c r="A81" s="11" t="str">
        <f t="shared" si="6"/>
        <v>Anti-GPR15-PE; Clone SA302A10</v>
      </c>
      <c r="B81" s="11" t="s">
        <v>60</v>
      </c>
      <c r="C81" s="11" t="str">
        <f t="shared" si="7"/>
        <v>Cat#2465020; RRID : not registered</v>
      </c>
      <c r="D81" s="12" t="s">
        <v>149</v>
      </c>
      <c r="E81" s="13" t="s">
        <v>289</v>
      </c>
      <c r="F81" s="13"/>
      <c r="G81" s="14" t="str">
        <f t="shared" si="9"/>
        <v>not registered</v>
      </c>
      <c r="H81" s="11" t="s">
        <v>122</v>
      </c>
      <c r="I81" s="11" t="s">
        <v>84</v>
      </c>
      <c r="J81" s="11" t="s">
        <v>6</v>
      </c>
      <c r="K81" s="11" t="s">
        <v>404</v>
      </c>
      <c r="L81" s="11" t="s">
        <v>275</v>
      </c>
      <c r="N81" s="4"/>
      <c r="O81" s="4"/>
      <c r="P81" s="4"/>
    </row>
    <row r="82" spans="1:16" ht="14.4" customHeight="1" x14ac:dyDescent="0.3">
      <c r="A82" s="11" t="str">
        <f t="shared" si="6"/>
        <v>Anti-KLRG1-PE; Clone Z7-205.rMAb</v>
      </c>
      <c r="B82" s="11" t="s">
        <v>259</v>
      </c>
      <c r="C82" s="11" t="str">
        <f t="shared" si="7"/>
        <v>Cat#568266; RRID : AB_2916863</v>
      </c>
      <c r="D82" s="12" t="s">
        <v>198</v>
      </c>
      <c r="E82" s="13" t="s">
        <v>372</v>
      </c>
      <c r="F82" s="13" t="s">
        <v>373</v>
      </c>
      <c r="G82" s="14" t="str">
        <f t="shared" si="9"/>
        <v>AB_2916863</v>
      </c>
      <c r="H82" s="11" t="s">
        <v>122</v>
      </c>
      <c r="I82" s="11" t="s">
        <v>30</v>
      </c>
      <c r="J82" s="11" t="s">
        <v>6</v>
      </c>
      <c r="K82" s="11" t="s">
        <v>443</v>
      </c>
      <c r="L82" s="11" t="s">
        <v>275</v>
      </c>
      <c r="N82" s="4"/>
      <c r="O82" s="4"/>
      <c r="P82" s="4"/>
    </row>
    <row r="83" spans="1:16" ht="14.4" customHeight="1" x14ac:dyDescent="0.3">
      <c r="A83" s="11" t="str">
        <f t="shared" si="6"/>
        <v xml:space="preserve">Anti-LAG3-Bv711; </v>
      </c>
      <c r="B83" s="11" t="s">
        <v>60</v>
      </c>
      <c r="C83" s="11" t="str">
        <f t="shared" si="7"/>
        <v>Cat#2446600; RRID : not registered</v>
      </c>
      <c r="D83" s="12" t="s">
        <v>154</v>
      </c>
      <c r="E83" s="13" t="s">
        <v>289</v>
      </c>
      <c r="F83" s="13"/>
      <c r="G83" s="14" t="str">
        <f t="shared" si="9"/>
        <v>not registered</v>
      </c>
      <c r="H83" s="11" t="s">
        <v>122</v>
      </c>
      <c r="I83" s="11" t="s">
        <v>57</v>
      </c>
      <c r="J83" s="11" t="s">
        <v>59</v>
      </c>
      <c r="K83" s="11"/>
      <c r="L83" s="11" t="s">
        <v>275</v>
      </c>
      <c r="N83" s="4"/>
      <c r="O83" s="4"/>
      <c r="P83" s="4"/>
    </row>
    <row r="84" spans="1:16" ht="14.4" customHeight="1" x14ac:dyDescent="0.3">
      <c r="A84" s="11" t="str">
        <f t="shared" si="6"/>
        <v>Anti-NOTCH3-APC; Clone MHN3-21</v>
      </c>
      <c r="B84" s="11" t="s">
        <v>3</v>
      </c>
      <c r="C84" s="11" t="str">
        <f t="shared" si="7"/>
        <v>Cat#345410; RRID : AB_2564483</v>
      </c>
      <c r="D84" s="12" t="s">
        <v>168</v>
      </c>
      <c r="E84" s="13" t="s">
        <v>322</v>
      </c>
      <c r="F84" s="13" t="s">
        <v>323</v>
      </c>
      <c r="G84" s="14" t="str">
        <f t="shared" si="9"/>
        <v>AB_2564483</v>
      </c>
      <c r="H84" s="11" t="s">
        <v>122</v>
      </c>
      <c r="I84" s="11" t="s">
        <v>76</v>
      </c>
      <c r="J84" s="11" t="s">
        <v>18</v>
      </c>
      <c r="K84" s="11" t="s">
        <v>423</v>
      </c>
      <c r="L84" s="11" t="s">
        <v>275</v>
      </c>
      <c r="N84" s="4"/>
      <c r="O84" s="4"/>
      <c r="P84" s="4"/>
    </row>
    <row r="85" spans="1:16" s="2" customFormat="1" ht="14.4" customHeight="1" x14ac:dyDescent="0.3">
      <c r="A85" s="11" t="str">
        <f t="shared" si="6"/>
        <v>Anti-OX40-PeCy7; Clone 5C3</v>
      </c>
      <c r="B85" s="11" t="s">
        <v>3</v>
      </c>
      <c r="C85" s="11" t="str">
        <f t="shared" si="7"/>
        <v>Cat#334322; RRID : AB_10645472</v>
      </c>
      <c r="D85" s="12" t="s">
        <v>133</v>
      </c>
      <c r="E85" s="13" t="s">
        <v>239</v>
      </c>
      <c r="F85" s="13" t="s">
        <v>221</v>
      </c>
      <c r="G85" s="14" t="str">
        <f t="shared" si="9"/>
        <v>AB_10645472</v>
      </c>
      <c r="H85" s="11" t="s">
        <v>122</v>
      </c>
      <c r="I85" s="11" t="s">
        <v>78</v>
      </c>
      <c r="J85" s="11" t="s">
        <v>20</v>
      </c>
      <c r="K85" s="11" t="s">
        <v>262</v>
      </c>
      <c r="L85" s="11" t="s">
        <v>275</v>
      </c>
      <c r="N85" s="4"/>
      <c r="O85" s="4"/>
      <c r="P85" s="4"/>
    </row>
    <row r="86" spans="1:16" ht="14.4" customHeight="1" x14ac:dyDescent="0.3">
      <c r="A86" s="11" t="str">
        <f t="shared" si="6"/>
        <v>Anti-T-bet-PE; Clone 4B10</v>
      </c>
      <c r="B86" s="11" t="s">
        <v>259</v>
      </c>
      <c r="C86" s="11" t="str">
        <f t="shared" si="7"/>
        <v>Cat#561265; RRID : AB_10565980</v>
      </c>
      <c r="D86" s="12" t="s">
        <v>161</v>
      </c>
      <c r="E86" s="13" t="s">
        <v>308</v>
      </c>
      <c r="F86" s="13" t="s">
        <v>309</v>
      </c>
      <c r="G86" s="14" t="str">
        <f t="shared" si="9"/>
        <v>AB_10565980</v>
      </c>
      <c r="H86" s="11" t="s">
        <v>122</v>
      </c>
      <c r="I86" s="11" t="s">
        <v>19</v>
      </c>
      <c r="J86" s="11" t="s">
        <v>6</v>
      </c>
      <c r="K86" s="11" t="s">
        <v>417</v>
      </c>
      <c r="L86" s="11" t="s">
        <v>275</v>
      </c>
      <c r="N86" s="4"/>
      <c r="O86" s="4"/>
      <c r="P86" s="4"/>
    </row>
    <row r="87" spans="1:16" ht="14.4" customHeight="1" x14ac:dyDescent="0.3">
      <c r="A87" s="11" t="str">
        <f t="shared" si="6"/>
        <v>Anti-TCR Vδ2-PB; Clone B6</v>
      </c>
      <c r="B87" s="11" t="s">
        <v>3</v>
      </c>
      <c r="C87" s="11" t="str">
        <f t="shared" si="7"/>
        <v>Cat#331414; RRID : AB_2687083</v>
      </c>
      <c r="D87" s="12" t="s">
        <v>139</v>
      </c>
      <c r="E87" s="13" t="s">
        <v>245</v>
      </c>
      <c r="F87" s="13" t="s">
        <v>227</v>
      </c>
      <c r="G87" s="14" t="str">
        <f t="shared" si="9"/>
        <v>AB_2687083</v>
      </c>
      <c r="H87" s="11" t="s">
        <v>122</v>
      </c>
      <c r="I87" s="11" t="s">
        <v>51</v>
      </c>
      <c r="J87" s="11" t="s">
        <v>36</v>
      </c>
      <c r="K87" s="11" t="s">
        <v>268</v>
      </c>
      <c r="L87" s="11" t="s">
        <v>275</v>
      </c>
      <c r="N87" s="4"/>
      <c r="O87" s="4"/>
      <c r="P87" s="4"/>
    </row>
    <row r="88" spans="1:16" ht="14.4" customHeight="1" x14ac:dyDescent="0.3">
      <c r="A88" s="11" t="str">
        <f t="shared" si="6"/>
        <v>Anti-TCR α/β-FITC; Clone IP26</v>
      </c>
      <c r="B88" s="11" t="s">
        <v>3</v>
      </c>
      <c r="C88" s="11" t="str">
        <f t="shared" si="7"/>
        <v>Cat#306706; RRID : AB_314644</v>
      </c>
      <c r="D88" s="12" t="s">
        <v>140</v>
      </c>
      <c r="E88" s="13" t="s">
        <v>246</v>
      </c>
      <c r="F88" s="13" t="s">
        <v>228</v>
      </c>
      <c r="G88" s="14" t="str">
        <f t="shared" si="9"/>
        <v>AB_314644</v>
      </c>
      <c r="H88" s="11" t="s">
        <v>122</v>
      </c>
      <c r="I88" s="11" t="s">
        <v>52</v>
      </c>
      <c r="J88" s="11" t="s">
        <v>10</v>
      </c>
      <c r="K88" s="11" t="s">
        <v>269</v>
      </c>
      <c r="L88" s="11" t="s">
        <v>275</v>
      </c>
      <c r="N88" s="4"/>
      <c r="O88" s="4"/>
      <c r="P88" s="4"/>
    </row>
    <row r="89" spans="1:16" ht="14.4" customHeight="1" x14ac:dyDescent="0.3">
      <c r="A89" s="11" t="str">
        <f t="shared" si="6"/>
        <v>Anti-TIM3-PerCP5.5; Clone F38-2E2</v>
      </c>
      <c r="B89" s="11" t="s">
        <v>3</v>
      </c>
      <c r="C89" s="11" t="str">
        <f t="shared" si="7"/>
        <v>Cat#345016; RRID : AB_2561934</v>
      </c>
      <c r="D89" s="12" t="s">
        <v>409</v>
      </c>
      <c r="E89" s="11" t="s">
        <v>411</v>
      </c>
      <c r="F89" s="13" t="s">
        <v>410</v>
      </c>
      <c r="G89" s="14" t="str">
        <f t="shared" si="9"/>
        <v>AB_2561934</v>
      </c>
      <c r="H89" s="11" t="s">
        <v>122</v>
      </c>
      <c r="I89" s="11" t="s">
        <v>48</v>
      </c>
      <c r="J89" s="11" t="s">
        <v>63</v>
      </c>
      <c r="K89" s="11" t="s">
        <v>407</v>
      </c>
      <c r="L89" s="11" t="s">
        <v>275</v>
      </c>
    </row>
    <row r="90" spans="1:16" ht="14.4" customHeight="1" x14ac:dyDescent="0.3">
      <c r="A90" s="11" t="str">
        <f t="shared" si="6"/>
        <v xml:space="preserve">Anti-PD1-; </v>
      </c>
      <c r="B90" s="11"/>
      <c r="C90" s="11" t="str">
        <f t="shared" si="7"/>
        <v xml:space="preserve">Cat#; RRID : </v>
      </c>
      <c r="D90" s="12" t="s">
        <v>145</v>
      </c>
      <c r="E90" s="10"/>
      <c r="F90" s="10"/>
      <c r="G90" s="10"/>
      <c r="H90" s="11" t="s">
        <v>122</v>
      </c>
      <c r="I90" s="11" t="s">
        <v>14</v>
      </c>
      <c r="J90" s="11"/>
      <c r="K90" s="11"/>
      <c r="L90" s="11"/>
    </row>
  </sheetData>
  <sortState xmlns:xlrd2="http://schemas.microsoft.com/office/spreadsheetml/2017/richdata2" ref="A2:L90">
    <sortCondition descending="1" ref="L2:L90"/>
    <sortCondition ref="A2:A90"/>
  </sortState>
  <hyperlinks>
    <hyperlink ref="F54" r:id="rId1" xr:uid="{BAB74BED-52D3-4154-9EDF-896C8E48011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126-C571-4E3D-A6F2-5D84709DD222}">
  <dimension ref="A1:J71"/>
  <sheetViews>
    <sheetView tabSelected="1" topLeftCell="A37" zoomScale="85" zoomScaleNormal="85" workbookViewId="0">
      <selection activeCell="C54" sqref="C54"/>
    </sheetView>
  </sheetViews>
  <sheetFormatPr baseColWidth="10" defaultRowHeight="13.8" x14ac:dyDescent="0.25"/>
  <cols>
    <col min="1" max="1" width="62.88671875" style="16" bestFit="1" customWidth="1"/>
    <col min="2" max="2" width="37.109375" style="16" bestFit="1" customWidth="1"/>
    <col min="3" max="3" width="60.109375" style="16" bestFit="1" customWidth="1"/>
    <col min="4" max="4" width="44.6640625" style="16" bestFit="1" customWidth="1"/>
    <col min="5" max="5" width="15.21875" style="16" bestFit="1" customWidth="1"/>
    <col min="6" max="7" width="13" style="16" bestFit="1" customWidth="1"/>
    <col min="8" max="8" width="9.5546875" style="16" bestFit="1" customWidth="1"/>
    <col min="9" max="9" width="6.5546875" style="16" bestFit="1" customWidth="1"/>
    <col min="10" max="16384" width="11.5546875" style="16"/>
  </cols>
  <sheetData>
    <row r="1" spans="1:9" ht="27.6" x14ac:dyDescent="0.25">
      <c r="A1" s="7" t="s">
        <v>123</v>
      </c>
      <c r="B1" s="7" t="s">
        <v>125</v>
      </c>
      <c r="C1" s="8" t="s">
        <v>124</v>
      </c>
      <c r="D1" s="8" t="s">
        <v>252</v>
      </c>
      <c r="E1" s="7" t="s">
        <v>274</v>
      </c>
      <c r="F1" s="9" t="s">
        <v>213</v>
      </c>
      <c r="G1" s="9" t="s">
        <v>214</v>
      </c>
      <c r="H1" s="9" t="s">
        <v>251</v>
      </c>
      <c r="I1" s="7" t="s">
        <v>126</v>
      </c>
    </row>
    <row r="2" spans="1:9" x14ac:dyDescent="0.25">
      <c r="A2" s="17" t="s">
        <v>509</v>
      </c>
      <c r="B2" s="17" t="s">
        <v>259</v>
      </c>
      <c r="C2" s="17" t="s">
        <v>525</v>
      </c>
      <c r="D2" s="17" t="s">
        <v>457</v>
      </c>
      <c r="E2" s="19" t="s">
        <v>276</v>
      </c>
      <c r="G2" s="17"/>
      <c r="H2" s="17"/>
      <c r="I2" s="17"/>
    </row>
    <row r="3" spans="1:9" x14ac:dyDescent="0.25">
      <c r="A3" s="17" t="s">
        <v>510</v>
      </c>
      <c r="B3" s="17" t="s">
        <v>259</v>
      </c>
      <c r="C3" s="17" t="s">
        <v>526</v>
      </c>
      <c r="D3" s="17" t="s">
        <v>457</v>
      </c>
      <c r="E3" s="19" t="s">
        <v>276</v>
      </c>
      <c r="G3" s="17"/>
      <c r="H3" s="17"/>
      <c r="I3" s="17"/>
    </row>
    <row r="4" spans="1:9" x14ac:dyDescent="0.25">
      <c r="A4" s="17" t="s">
        <v>508</v>
      </c>
      <c r="B4" s="17" t="s">
        <v>96</v>
      </c>
      <c r="C4" s="17" t="s">
        <v>527</v>
      </c>
      <c r="D4" s="17" t="s">
        <v>457</v>
      </c>
      <c r="E4" s="19" t="s">
        <v>276</v>
      </c>
      <c r="G4" s="17"/>
      <c r="H4" s="17"/>
      <c r="I4" s="17"/>
    </row>
    <row r="5" spans="1:9" x14ac:dyDescent="0.25">
      <c r="A5" s="17" t="s">
        <v>507</v>
      </c>
      <c r="B5" s="17" t="s">
        <v>86</v>
      </c>
      <c r="C5" s="17" t="s">
        <v>528</v>
      </c>
      <c r="D5" s="17" t="s">
        <v>457</v>
      </c>
      <c r="E5" s="19" t="s">
        <v>276</v>
      </c>
      <c r="G5" s="17"/>
      <c r="H5" s="17"/>
      <c r="I5" s="17"/>
    </row>
    <row r="6" spans="1:9" x14ac:dyDescent="0.25">
      <c r="A6" s="17" t="s">
        <v>556</v>
      </c>
      <c r="B6" s="17"/>
      <c r="C6" s="17"/>
      <c r="D6" s="17" t="s">
        <v>457</v>
      </c>
      <c r="E6" s="19" t="s">
        <v>276</v>
      </c>
    </row>
    <row r="7" spans="1:9" x14ac:dyDescent="0.25">
      <c r="A7" s="17" t="s">
        <v>557</v>
      </c>
      <c r="B7" s="17"/>
      <c r="C7" s="17"/>
      <c r="D7" s="17" t="s">
        <v>457</v>
      </c>
      <c r="E7" s="19" t="s">
        <v>276</v>
      </c>
      <c r="G7" s="17"/>
      <c r="H7" s="17"/>
      <c r="I7" s="17"/>
    </row>
    <row r="8" spans="1:9" x14ac:dyDescent="0.25">
      <c r="A8" s="17" t="s">
        <v>558</v>
      </c>
      <c r="B8" s="17"/>
      <c r="C8" s="17"/>
      <c r="D8" s="17" t="s">
        <v>457</v>
      </c>
      <c r="E8" s="19" t="s">
        <v>276</v>
      </c>
      <c r="G8" s="17"/>
      <c r="H8" s="17"/>
      <c r="I8" s="17"/>
    </row>
    <row r="9" spans="1:9" x14ac:dyDescent="0.25">
      <c r="A9" s="17" t="s">
        <v>559</v>
      </c>
      <c r="B9" s="17"/>
      <c r="C9" s="17"/>
      <c r="D9" s="17" t="s">
        <v>457</v>
      </c>
      <c r="E9" s="19" t="s">
        <v>276</v>
      </c>
      <c r="G9" s="17"/>
      <c r="H9" s="17"/>
      <c r="I9" s="17"/>
    </row>
    <row r="10" spans="1:9" x14ac:dyDescent="0.25">
      <c r="A10" s="17" t="s">
        <v>571</v>
      </c>
      <c r="B10" s="17" t="s">
        <v>96</v>
      </c>
      <c r="C10" s="17" t="s">
        <v>568</v>
      </c>
      <c r="D10" s="17" t="s">
        <v>457</v>
      </c>
      <c r="E10" s="19" t="s">
        <v>276</v>
      </c>
      <c r="G10" s="17"/>
      <c r="H10" s="17"/>
      <c r="I10" s="17"/>
    </row>
    <row r="11" spans="1:9" x14ac:dyDescent="0.25">
      <c r="A11" s="17" t="s">
        <v>570</v>
      </c>
      <c r="B11" s="17" t="s">
        <v>96</v>
      </c>
      <c r="C11" s="17" t="s">
        <v>569</v>
      </c>
      <c r="D11" s="17" t="s">
        <v>457</v>
      </c>
      <c r="E11" s="19" t="s">
        <v>276</v>
      </c>
      <c r="G11" s="17"/>
      <c r="H11" s="17"/>
      <c r="I11" s="17"/>
    </row>
    <row r="12" spans="1:9" x14ac:dyDescent="0.25">
      <c r="A12" s="17" t="s">
        <v>555</v>
      </c>
      <c r="B12" s="17"/>
      <c r="C12" s="17"/>
      <c r="D12" s="17" t="s">
        <v>457</v>
      </c>
      <c r="E12" s="19" t="s">
        <v>276</v>
      </c>
      <c r="G12" s="17"/>
      <c r="H12" s="17"/>
      <c r="I12" s="17"/>
    </row>
    <row r="13" spans="1:9" x14ac:dyDescent="0.25">
      <c r="A13" s="17" t="s">
        <v>552</v>
      </c>
      <c r="B13" s="17" t="s">
        <v>553</v>
      </c>
      <c r="C13" s="17" t="s">
        <v>554</v>
      </c>
      <c r="D13" s="17" t="s">
        <v>457</v>
      </c>
      <c r="E13" s="19" t="s">
        <v>276</v>
      </c>
      <c r="G13" s="17"/>
      <c r="H13" s="17"/>
      <c r="I13" s="17"/>
    </row>
    <row r="14" spans="1:9" x14ac:dyDescent="0.25">
      <c r="A14" s="17" t="s">
        <v>560</v>
      </c>
      <c r="B14" s="17" t="s">
        <v>96</v>
      </c>
      <c r="C14" s="17" t="s">
        <v>563</v>
      </c>
      <c r="D14" s="17" t="s">
        <v>457</v>
      </c>
      <c r="E14" s="19" t="s">
        <v>276</v>
      </c>
      <c r="G14" s="17"/>
      <c r="H14" s="17"/>
      <c r="I14" s="17"/>
    </row>
    <row r="15" spans="1:9" x14ac:dyDescent="0.25">
      <c r="A15" s="17" t="s">
        <v>561</v>
      </c>
      <c r="B15" s="17" t="s">
        <v>485</v>
      </c>
      <c r="C15" s="17" t="s">
        <v>567</v>
      </c>
      <c r="D15" s="17" t="s">
        <v>457</v>
      </c>
      <c r="E15" s="19" t="s">
        <v>276</v>
      </c>
      <c r="G15" s="17"/>
      <c r="H15" s="17"/>
      <c r="I15" s="17"/>
    </row>
    <row r="16" spans="1:9" x14ac:dyDescent="0.25">
      <c r="A16" s="17" t="s">
        <v>564</v>
      </c>
      <c r="B16" s="17" t="s">
        <v>485</v>
      </c>
      <c r="C16" s="17" t="s">
        <v>565</v>
      </c>
      <c r="D16" s="17" t="s">
        <v>457</v>
      </c>
      <c r="E16" s="19" t="s">
        <v>276</v>
      </c>
      <c r="G16" s="17"/>
      <c r="H16" s="17"/>
      <c r="I16" s="17"/>
    </row>
    <row r="17" spans="1:10" x14ac:dyDescent="0.25">
      <c r="A17" s="17" t="s">
        <v>562</v>
      </c>
      <c r="B17" s="17" t="s">
        <v>485</v>
      </c>
      <c r="C17" s="17" t="s">
        <v>566</v>
      </c>
      <c r="D17" s="17" t="s">
        <v>457</v>
      </c>
      <c r="E17" s="19" t="s">
        <v>275</v>
      </c>
      <c r="G17" s="17"/>
      <c r="H17" s="17"/>
      <c r="I17" s="17"/>
      <c r="J17" s="17"/>
    </row>
    <row r="18" spans="1:10" x14ac:dyDescent="0.25">
      <c r="A18" s="17" t="s">
        <v>505</v>
      </c>
      <c r="B18" s="17" t="s">
        <v>1</v>
      </c>
      <c r="C18" s="17" t="s">
        <v>529</v>
      </c>
      <c r="D18" s="17" t="s">
        <v>457</v>
      </c>
      <c r="E18" s="19" t="s">
        <v>276</v>
      </c>
      <c r="G18" s="17"/>
      <c r="H18" s="17"/>
      <c r="I18" s="17"/>
      <c r="J18" s="17"/>
    </row>
    <row r="19" spans="1:10" x14ac:dyDescent="0.25">
      <c r="A19" s="17" t="s">
        <v>111</v>
      </c>
      <c r="B19" s="17" t="s">
        <v>91</v>
      </c>
      <c r="C19" s="17" t="s">
        <v>530</v>
      </c>
      <c r="D19" s="17" t="s">
        <v>457</v>
      </c>
      <c r="E19" s="19" t="s">
        <v>276</v>
      </c>
      <c r="G19" s="17"/>
      <c r="H19" s="17"/>
      <c r="I19" s="17"/>
      <c r="J19" s="17"/>
    </row>
    <row r="20" spans="1:10" x14ac:dyDescent="0.25">
      <c r="A20" s="17" t="s">
        <v>511</v>
      </c>
      <c r="B20" s="17" t="s">
        <v>3</v>
      </c>
      <c r="C20" s="17" t="s">
        <v>532</v>
      </c>
      <c r="D20" s="17" t="s">
        <v>457</v>
      </c>
      <c r="E20" s="19" t="s">
        <v>276</v>
      </c>
      <c r="G20" s="17"/>
      <c r="H20" s="17"/>
      <c r="I20" s="17"/>
      <c r="J20" s="17"/>
    </row>
    <row r="21" spans="1:10" x14ac:dyDescent="0.25">
      <c r="A21" s="17" t="s">
        <v>85</v>
      </c>
      <c r="B21" s="17" t="s">
        <v>86</v>
      </c>
      <c r="C21" s="17" t="s">
        <v>531</v>
      </c>
      <c r="D21" s="17" t="s">
        <v>457</v>
      </c>
      <c r="E21" s="19" t="s">
        <v>276</v>
      </c>
      <c r="G21" s="17"/>
      <c r="H21" s="17"/>
      <c r="I21" s="17"/>
      <c r="J21" s="17"/>
    </row>
    <row r="22" spans="1:10" x14ac:dyDescent="0.25">
      <c r="A22" s="17" t="s">
        <v>89</v>
      </c>
      <c r="B22" s="17" t="s">
        <v>91</v>
      </c>
      <c r="C22" s="17" t="s">
        <v>533</v>
      </c>
      <c r="D22" s="17" t="s">
        <v>457</v>
      </c>
      <c r="E22" s="19" t="s">
        <v>276</v>
      </c>
      <c r="G22" s="17"/>
      <c r="H22" s="17"/>
      <c r="I22" s="17"/>
      <c r="J22" s="17"/>
    </row>
    <row r="23" spans="1:10" x14ac:dyDescent="0.25">
      <c r="A23" s="17" t="s">
        <v>506</v>
      </c>
      <c r="B23" s="17" t="s">
        <v>91</v>
      </c>
      <c r="C23" s="17" t="s">
        <v>535</v>
      </c>
      <c r="D23" s="17" t="s">
        <v>457</v>
      </c>
      <c r="E23" s="19" t="s">
        <v>276</v>
      </c>
      <c r="G23" s="17"/>
      <c r="H23" s="17"/>
      <c r="I23" s="17"/>
      <c r="J23" s="17"/>
    </row>
    <row r="24" spans="1:10" x14ac:dyDescent="0.25">
      <c r="A24" s="17" t="s">
        <v>458</v>
      </c>
      <c r="B24" s="17" t="s">
        <v>95</v>
      </c>
      <c r="C24" s="17" t="s">
        <v>534</v>
      </c>
      <c r="D24" s="17" t="s">
        <v>457</v>
      </c>
      <c r="E24" s="19" t="s">
        <v>276</v>
      </c>
      <c r="G24" s="17"/>
      <c r="H24" s="17"/>
      <c r="I24" s="17"/>
      <c r="J24" s="17"/>
    </row>
    <row r="25" spans="1:10" x14ac:dyDescent="0.25">
      <c r="A25" s="17" t="s">
        <v>459</v>
      </c>
      <c r="B25" s="17" t="s">
        <v>95</v>
      </c>
      <c r="C25" s="17" t="s">
        <v>536</v>
      </c>
      <c r="D25" s="17" t="s">
        <v>457</v>
      </c>
      <c r="E25" s="19" t="s">
        <v>276</v>
      </c>
      <c r="G25" s="17"/>
      <c r="H25" s="17"/>
      <c r="I25" s="17"/>
      <c r="J25" s="17"/>
    </row>
    <row r="26" spans="1:10" x14ac:dyDescent="0.25">
      <c r="A26" s="17" t="s">
        <v>512</v>
      </c>
      <c r="B26" s="17" t="s">
        <v>90</v>
      </c>
      <c r="C26" s="17" t="s">
        <v>538</v>
      </c>
      <c r="D26" s="17" t="s">
        <v>457</v>
      </c>
      <c r="E26" s="19" t="s">
        <v>276</v>
      </c>
      <c r="G26" s="17"/>
      <c r="H26" s="17"/>
      <c r="I26" s="17"/>
      <c r="J26" s="17"/>
    </row>
    <row r="27" spans="1:10" x14ac:dyDescent="0.25">
      <c r="A27" s="17" t="s">
        <v>93</v>
      </c>
      <c r="B27" s="17" t="s">
        <v>95</v>
      </c>
      <c r="C27" s="17" t="s">
        <v>537</v>
      </c>
      <c r="D27" s="17" t="s">
        <v>457</v>
      </c>
      <c r="E27" s="19" t="s">
        <v>276</v>
      </c>
      <c r="G27" s="17"/>
      <c r="H27" s="17"/>
      <c r="I27" s="17"/>
      <c r="J27" s="17"/>
    </row>
    <row r="28" spans="1:10" x14ac:dyDescent="0.25">
      <c r="A28" s="17" t="s">
        <v>513</v>
      </c>
      <c r="B28" s="17" t="s">
        <v>96</v>
      </c>
      <c r="C28" s="17" t="s">
        <v>539</v>
      </c>
      <c r="D28" s="17" t="s">
        <v>457</v>
      </c>
      <c r="E28" s="19" t="s">
        <v>275</v>
      </c>
      <c r="G28" s="17"/>
      <c r="H28" s="17"/>
      <c r="I28" s="17"/>
      <c r="J28" s="17"/>
    </row>
    <row r="29" spans="1:10" x14ac:dyDescent="0.25">
      <c r="A29" s="17" t="s">
        <v>514</v>
      </c>
      <c r="B29" s="17" t="s">
        <v>96</v>
      </c>
      <c r="C29" s="17" t="s">
        <v>540</v>
      </c>
      <c r="D29" s="17" t="s">
        <v>457</v>
      </c>
      <c r="E29" s="19" t="s">
        <v>275</v>
      </c>
      <c r="G29" s="17"/>
      <c r="H29" s="17"/>
      <c r="I29" s="17"/>
      <c r="J29" s="17"/>
    </row>
    <row r="30" spans="1:10" x14ac:dyDescent="0.25">
      <c r="A30" s="17" t="s">
        <v>523</v>
      </c>
      <c r="B30" s="17" t="s">
        <v>96</v>
      </c>
      <c r="C30" s="17" t="s">
        <v>542</v>
      </c>
      <c r="D30" s="17" t="s">
        <v>457</v>
      </c>
      <c r="E30" s="19" t="s">
        <v>276</v>
      </c>
      <c r="G30" s="17"/>
      <c r="H30" s="17"/>
      <c r="I30" s="17"/>
      <c r="J30" s="17"/>
    </row>
    <row r="31" spans="1:10" x14ac:dyDescent="0.25">
      <c r="A31" s="17" t="s">
        <v>515</v>
      </c>
      <c r="B31" s="17" t="s">
        <v>96</v>
      </c>
      <c r="C31" s="17" t="s">
        <v>541</v>
      </c>
      <c r="D31" s="17" t="s">
        <v>457</v>
      </c>
      <c r="E31" s="19" t="s">
        <v>276</v>
      </c>
      <c r="G31" s="17"/>
      <c r="H31" s="17"/>
      <c r="I31" s="17"/>
      <c r="J31" s="17"/>
    </row>
    <row r="32" spans="1:10" x14ac:dyDescent="0.25">
      <c r="A32" s="17" t="s">
        <v>516</v>
      </c>
      <c r="B32" s="17" t="s">
        <v>96</v>
      </c>
      <c r="C32" s="17" t="s">
        <v>543</v>
      </c>
      <c r="D32" s="17" t="s">
        <v>457</v>
      </c>
      <c r="E32" s="19" t="s">
        <v>276</v>
      </c>
      <c r="G32" s="17"/>
      <c r="H32" s="17"/>
      <c r="I32" s="17"/>
      <c r="J32" s="17"/>
    </row>
    <row r="33" spans="1:10" x14ac:dyDescent="0.25">
      <c r="A33" s="17" t="s">
        <v>92</v>
      </c>
      <c r="B33" s="17" t="s">
        <v>483</v>
      </c>
      <c r="C33" s="17" t="s">
        <v>517</v>
      </c>
      <c r="D33" s="17" t="s">
        <v>457</v>
      </c>
      <c r="E33" s="19" t="s">
        <v>276</v>
      </c>
      <c r="G33" s="17"/>
      <c r="H33" s="17"/>
      <c r="I33" s="17"/>
      <c r="J33" s="17"/>
    </row>
    <row r="34" spans="1:10" x14ac:dyDescent="0.25">
      <c r="A34" s="17" t="s">
        <v>518</v>
      </c>
      <c r="B34" s="17" t="s">
        <v>94</v>
      </c>
      <c r="C34" s="17" t="s">
        <v>544</v>
      </c>
      <c r="D34" s="17" t="s">
        <v>457</v>
      </c>
      <c r="E34" s="19" t="s">
        <v>276</v>
      </c>
      <c r="G34" s="17"/>
      <c r="H34" s="17"/>
      <c r="I34" s="17"/>
      <c r="J34" s="17"/>
    </row>
    <row r="35" spans="1:10" x14ac:dyDescent="0.25">
      <c r="A35" s="17" t="s">
        <v>519</v>
      </c>
      <c r="B35" s="17" t="s">
        <v>110</v>
      </c>
      <c r="C35" s="17" t="s">
        <v>545</v>
      </c>
      <c r="D35" s="17" t="s">
        <v>457</v>
      </c>
      <c r="E35" s="19" t="s">
        <v>276</v>
      </c>
      <c r="G35" s="17"/>
      <c r="H35" s="17"/>
      <c r="I35" s="17"/>
      <c r="J35" s="17"/>
    </row>
    <row r="36" spans="1:10" x14ac:dyDescent="0.25">
      <c r="A36" s="17" t="s">
        <v>550</v>
      </c>
      <c r="B36" s="17" t="s">
        <v>485</v>
      </c>
      <c r="C36" s="17" t="s">
        <v>524</v>
      </c>
      <c r="D36" s="17" t="s">
        <v>457</v>
      </c>
      <c r="E36" s="19" t="s">
        <v>276</v>
      </c>
      <c r="G36" s="17"/>
      <c r="H36" s="17"/>
      <c r="I36" s="17"/>
      <c r="J36" s="17"/>
    </row>
    <row r="37" spans="1:10" x14ac:dyDescent="0.25">
      <c r="A37" s="17" t="s">
        <v>551</v>
      </c>
      <c r="B37" s="17" t="s">
        <v>485</v>
      </c>
      <c r="C37" s="17" t="s">
        <v>486</v>
      </c>
      <c r="D37" s="17" t="s">
        <v>457</v>
      </c>
      <c r="E37" s="19" t="s">
        <v>276</v>
      </c>
      <c r="H37" s="17"/>
      <c r="I37" s="17"/>
      <c r="J37" s="17"/>
    </row>
    <row r="38" spans="1:10" x14ac:dyDescent="0.25">
      <c r="A38" s="17" t="s">
        <v>460</v>
      </c>
      <c r="B38" s="17" t="s">
        <v>574</v>
      </c>
      <c r="C38" s="17" t="s">
        <v>575</v>
      </c>
      <c r="D38" s="17" t="s">
        <v>457</v>
      </c>
      <c r="E38" s="19" t="s">
        <v>276</v>
      </c>
      <c r="G38" s="17"/>
      <c r="H38" s="17"/>
      <c r="I38" s="17"/>
      <c r="J38" s="17"/>
    </row>
    <row r="39" spans="1:10" x14ac:dyDescent="0.25">
      <c r="A39" s="17" t="s">
        <v>23</v>
      </c>
      <c r="B39" s="17"/>
      <c r="C39" s="17"/>
      <c r="D39" s="17" t="s">
        <v>457</v>
      </c>
      <c r="E39" s="17" t="s">
        <v>276</v>
      </c>
      <c r="F39" s="17"/>
      <c r="G39" s="17"/>
      <c r="H39" s="17"/>
      <c r="I39" s="17"/>
      <c r="J39" s="17"/>
    </row>
    <row r="40" spans="1:10" x14ac:dyDescent="0.25">
      <c r="A40" s="17" t="s">
        <v>461</v>
      </c>
      <c r="B40" s="17" t="s">
        <v>485</v>
      </c>
      <c r="C40" s="17" t="s">
        <v>549</v>
      </c>
      <c r="D40" s="17" t="s">
        <v>457</v>
      </c>
      <c r="E40" s="17" t="s">
        <v>276</v>
      </c>
      <c r="F40" s="17"/>
      <c r="G40" s="17"/>
      <c r="H40" s="17"/>
      <c r="I40" s="17"/>
      <c r="J40" s="17"/>
    </row>
    <row r="41" spans="1:10" x14ac:dyDescent="0.25">
      <c r="A41" s="17" t="s">
        <v>462</v>
      </c>
      <c r="B41" s="17"/>
      <c r="C41" s="17"/>
      <c r="D41" s="17" t="s">
        <v>457</v>
      </c>
      <c r="E41" s="17" t="s">
        <v>276</v>
      </c>
      <c r="F41" s="17"/>
      <c r="G41" s="17"/>
      <c r="H41" s="17"/>
      <c r="I41" s="17"/>
      <c r="J41" s="17"/>
    </row>
    <row r="42" spans="1:10" x14ac:dyDescent="0.25">
      <c r="A42" s="17" t="s">
        <v>2</v>
      </c>
      <c r="B42" s="17" t="s">
        <v>259</v>
      </c>
      <c r="C42" s="17" t="s">
        <v>546</v>
      </c>
      <c r="D42" s="17" t="s">
        <v>456</v>
      </c>
      <c r="E42" s="17" t="s">
        <v>276</v>
      </c>
      <c r="F42" s="17"/>
      <c r="G42" s="17"/>
      <c r="H42" s="17"/>
      <c r="I42" s="17"/>
      <c r="J42" s="17"/>
    </row>
    <row r="43" spans="1:10" x14ac:dyDescent="0.25">
      <c r="A43" s="17" t="s">
        <v>482</v>
      </c>
      <c r="B43" s="17" t="s">
        <v>259</v>
      </c>
      <c r="C43" s="17" t="s">
        <v>547</v>
      </c>
      <c r="D43" s="17" t="s">
        <v>456</v>
      </c>
      <c r="E43" s="17" t="s">
        <v>276</v>
      </c>
      <c r="F43" s="17"/>
      <c r="G43" s="17"/>
      <c r="H43" s="17"/>
      <c r="I43" s="17"/>
      <c r="J43" s="17"/>
    </row>
    <row r="44" spans="1:10" x14ac:dyDescent="0.25">
      <c r="A44" s="17" t="s">
        <v>463</v>
      </c>
      <c r="B44" s="17" t="s">
        <v>487</v>
      </c>
      <c r="C44" s="17" t="s">
        <v>548</v>
      </c>
      <c r="D44" s="17" t="s">
        <v>456</v>
      </c>
      <c r="E44" s="17" t="s">
        <v>276</v>
      </c>
      <c r="F44" s="17"/>
      <c r="G44" s="17"/>
      <c r="H44" s="17"/>
      <c r="I44" s="17"/>
      <c r="J44" s="17"/>
    </row>
    <row r="45" spans="1:10" x14ac:dyDescent="0.25">
      <c r="A45" s="17" t="s">
        <v>464</v>
      </c>
      <c r="B45" s="17"/>
      <c r="C45" s="17"/>
      <c r="D45" s="17" t="s">
        <v>456</v>
      </c>
      <c r="E45" s="17" t="s">
        <v>276</v>
      </c>
      <c r="G45" s="17"/>
      <c r="H45" s="17"/>
      <c r="I45" s="17"/>
      <c r="J45" s="17"/>
    </row>
    <row r="46" spans="1:10" x14ac:dyDescent="0.25">
      <c r="A46" s="17" t="s">
        <v>465</v>
      </c>
      <c r="B46" s="17"/>
      <c r="C46" s="17"/>
      <c r="D46" s="17" t="s">
        <v>456</v>
      </c>
      <c r="E46" s="17" t="s">
        <v>276</v>
      </c>
      <c r="F46" s="17"/>
    </row>
    <row r="47" spans="1:10" x14ac:dyDescent="0.25">
      <c r="A47" s="17" t="s">
        <v>572</v>
      </c>
      <c r="B47" s="17"/>
      <c r="C47" s="17"/>
      <c r="D47" s="17" t="s">
        <v>456</v>
      </c>
      <c r="E47" s="17" t="s">
        <v>276</v>
      </c>
      <c r="F47" s="17"/>
    </row>
    <row r="48" spans="1:10" x14ac:dyDescent="0.25">
      <c r="A48" s="17" t="s">
        <v>466</v>
      </c>
      <c r="B48" s="17" t="s">
        <v>467</v>
      </c>
      <c r="C48" s="15" t="s">
        <v>468</v>
      </c>
      <c r="D48" s="17" t="s">
        <v>469</v>
      </c>
      <c r="E48" s="17" t="s">
        <v>276</v>
      </c>
      <c r="F48" s="17" t="s">
        <v>522</v>
      </c>
    </row>
    <row r="49" spans="1:6" x14ac:dyDescent="0.25">
      <c r="A49" s="17" t="s">
        <v>470</v>
      </c>
      <c r="B49" s="17" t="s">
        <v>471</v>
      </c>
      <c r="C49" s="14" t="s">
        <v>472</v>
      </c>
      <c r="D49" s="17" t="s">
        <v>469</v>
      </c>
      <c r="E49" s="17" t="s">
        <v>276</v>
      </c>
      <c r="F49" s="17"/>
    </row>
    <row r="50" spans="1:6" x14ac:dyDescent="0.25">
      <c r="A50" s="17" t="s">
        <v>473</v>
      </c>
      <c r="B50" s="17" t="s">
        <v>474</v>
      </c>
      <c r="C50" s="14" t="s">
        <v>475</v>
      </c>
      <c r="D50" s="17" t="s">
        <v>469</v>
      </c>
      <c r="E50" s="17" t="s">
        <v>276</v>
      </c>
      <c r="F50" s="17"/>
    </row>
    <row r="51" spans="1:6" x14ac:dyDescent="0.25">
      <c r="A51" s="17" t="s">
        <v>476</v>
      </c>
      <c r="B51" s="17" t="s">
        <v>477</v>
      </c>
      <c r="C51" s="14" t="s">
        <v>478</v>
      </c>
      <c r="D51" s="17" t="s">
        <v>469</v>
      </c>
      <c r="E51" s="17" t="s">
        <v>276</v>
      </c>
      <c r="F51" s="17"/>
    </row>
    <row r="52" spans="1:6" x14ac:dyDescent="0.25">
      <c r="A52" s="17" t="s">
        <v>479</v>
      </c>
      <c r="B52" s="17" t="s">
        <v>520</v>
      </c>
      <c r="C52" s="14" t="s">
        <v>521</v>
      </c>
      <c r="D52" s="17" t="s">
        <v>469</v>
      </c>
      <c r="E52" s="17" t="s">
        <v>276</v>
      </c>
      <c r="F52" s="17"/>
    </row>
    <row r="53" spans="1:6" x14ac:dyDescent="0.25">
      <c r="A53" s="17" t="s">
        <v>480</v>
      </c>
      <c r="B53" s="17"/>
      <c r="C53" s="17"/>
      <c r="D53" s="17" t="s">
        <v>469</v>
      </c>
      <c r="E53" s="17" t="s">
        <v>276</v>
      </c>
      <c r="F53" s="17"/>
    </row>
    <row r="54" spans="1:6" ht="14.4" x14ac:dyDescent="0.25">
      <c r="A54" s="17" t="s">
        <v>481</v>
      </c>
      <c r="B54" s="17" t="s">
        <v>577</v>
      </c>
      <c r="C54" s="20" t="s">
        <v>578</v>
      </c>
      <c r="D54" s="17" t="s">
        <v>469</v>
      </c>
      <c r="E54" s="17" t="s">
        <v>276</v>
      </c>
    </row>
    <row r="55" spans="1:6" x14ac:dyDescent="0.25">
      <c r="A55" s="17" t="s">
        <v>576</v>
      </c>
      <c r="B55" s="17"/>
      <c r="C55" s="17"/>
      <c r="D55" s="17" t="s">
        <v>469</v>
      </c>
      <c r="E55" s="17" t="s">
        <v>276</v>
      </c>
    </row>
    <row r="56" spans="1:6" x14ac:dyDescent="0.25">
      <c r="A56" s="17" t="s">
        <v>488</v>
      </c>
      <c r="B56" s="17" t="s">
        <v>489</v>
      </c>
      <c r="C56" s="15" t="s">
        <v>493</v>
      </c>
      <c r="D56" s="22" t="s">
        <v>497</v>
      </c>
      <c r="E56" s="17" t="s">
        <v>276</v>
      </c>
    </row>
    <row r="57" spans="1:6" x14ac:dyDescent="0.25">
      <c r="A57" s="19" t="s">
        <v>490</v>
      </c>
      <c r="B57" s="19" t="s">
        <v>491</v>
      </c>
      <c r="C57" s="21" t="s">
        <v>492</v>
      </c>
      <c r="D57" s="22" t="s">
        <v>497</v>
      </c>
      <c r="E57" s="17" t="s">
        <v>276</v>
      </c>
    </row>
    <row r="58" spans="1:6" x14ac:dyDescent="0.25">
      <c r="A58" s="19" t="s">
        <v>494</v>
      </c>
      <c r="B58" s="19" t="s">
        <v>495</v>
      </c>
      <c r="C58" s="21" t="s">
        <v>496</v>
      </c>
      <c r="D58" s="22" t="s">
        <v>497</v>
      </c>
      <c r="E58" s="17" t="s">
        <v>276</v>
      </c>
    </row>
    <row r="59" spans="1:6" x14ac:dyDescent="0.25">
      <c r="A59" s="19" t="s">
        <v>498</v>
      </c>
      <c r="B59" s="19" t="s">
        <v>499</v>
      </c>
      <c r="C59" s="21" t="s">
        <v>500</v>
      </c>
      <c r="D59" s="22" t="s">
        <v>497</v>
      </c>
    </row>
    <row r="60" spans="1:6" x14ac:dyDescent="0.25">
      <c r="A60" s="19" t="s">
        <v>502</v>
      </c>
      <c r="B60" s="19" t="s">
        <v>503</v>
      </c>
      <c r="C60" s="21" t="s">
        <v>504</v>
      </c>
      <c r="D60" s="22" t="s">
        <v>497</v>
      </c>
    </row>
    <row r="61" spans="1:6" x14ac:dyDescent="0.25">
      <c r="A61" s="19"/>
      <c r="B61" s="19" t="s">
        <v>501</v>
      </c>
      <c r="C61" s="19"/>
      <c r="D61" s="22" t="s">
        <v>497</v>
      </c>
    </row>
    <row r="62" spans="1:6" ht="14.4" x14ac:dyDescent="0.25">
      <c r="A62" s="18" t="s">
        <v>573</v>
      </c>
      <c r="B62" s="18" t="s">
        <v>88</v>
      </c>
      <c r="C62" s="18" t="s">
        <v>87</v>
      </c>
      <c r="D62" s="18" t="s">
        <v>484</v>
      </c>
    </row>
    <row r="63" spans="1:6" ht="14.4" x14ac:dyDescent="0.25">
      <c r="A63" s="18" t="s">
        <v>102</v>
      </c>
      <c r="B63" s="18" t="s">
        <v>120</v>
      </c>
      <c r="C63" s="18" t="s">
        <v>121</v>
      </c>
      <c r="D63" s="18" t="s">
        <v>484</v>
      </c>
    </row>
    <row r="64" spans="1:6" ht="14.4" x14ac:dyDescent="0.25">
      <c r="A64" s="18" t="s">
        <v>103</v>
      </c>
      <c r="B64" s="18" t="s">
        <v>120</v>
      </c>
      <c r="C64" s="18" t="s">
        <v>121</v>
      </c>
      <c r="D64" s="18" t="s">
        <v>484</v>
      </c>
    </row>
    <row r="65" spans="1:4" ht="14.4" x14ac:dyDescent="0.25">
      <c r="A65" s="18" t="s">
        <v>104</v>
      </c>
      <c r="B65" s="18" t="s">
        <v>120</v>
      </c>
      <c r="C65" s="18" t="s">
        <v>121</v>
      </c>
      <c r="D65" s="18" t="s">
        <v>484</v>
      </c>
    </row>
    <row r="66" spans="1:4" ht="14.4" x14ac:dyDescent="0.25">
      <c r="A66" s="18" t="s">
        <v>105</v>
      </c>
      <c r="B66" s="18" t="s">
        <v>120</v>
      </c>
      <c r="C66" s="18" t="s">
        <v>121</v>
      </c>
      <c r="D66" s="18" t="s">
        <v>484</v>
      </c>
    </row>
    <row r="67" spans="1:4" ht="14.4" x14ac:dyDescent="0.25">
      <c r="A67" s="18" t="s">
        <v>106</v>
      </c>
      <c r="B67" s="18" t="s">
        <v>120</v>
      </c>
      <c r="C67" s="18" t="s">
        <v>121</v>
      </c>
      <c r="D67" s="18" t="s">
        <v>484</v>
      </c>
    </row>
    <row r="68" spans="1:4" ht="14.4" x14ac:dyDescent="0.25">
      <c r="A68" s="18" t="s">
        <v>107</v>
      </c>
      <c r="B68" s="18" t="s">
        <v>120</v>
      </c>
      <c r="C68" s="18" t="s">
        <v>121</v>
      </c>
      <c r="D68" s="18" t="s">
        <v>484</v>
      </c>
    </row>
    <row r="69" spans="1:4" ht="14.4" x14ac:dyDescent="0.25">
      <c r="A69" s="18" t="s">
        <v>108</v>
      </c>
      <c r="B69" s="18" t="s">
        <v>120</v>
      </c>
      <c r="C69" s="18" t="s">
        <v>121</v>
      </c>
      <c r="D69" s="18" t="s">
        <v>484</v>
      </c>
    </row>
    <row r="70" spans="1:4" ht="14.4" x14ac:dyDescent="0.25">
      <c r="A70" s="18" t="s">
        <v>109</v>
      </c>
      <c r="B70" s="18" t="s">
        <v>120</v>
      </c>
      <c r="C70" s="18" t="s">
        <v>121</v>
      </c>
      <c r="D70" s="18" t="s">
        <v>484</v>
      </c>
    </row>
    <row r="71" spans="1:4" ht="14.4" x14ac:dyDescent="0.25">
      <c r="A71" s="18" t="s">
        <v>118</v>
      </c>
      <c r="B71" s="18" t="s">
        <v>120</v>
      </c>
      <c r="C71" s="20" t="s">
        <v>119</v>
      </c>
      <c r="D71" s="18" t="s">
        <v>484</v>
      </c>
    </row>
  </sheetData>
  <hyperlinks>
    <hyperlink ref="C48" r:id="rId1" xr:uid="{B2154F4B-6087-4CFF-AFFD-5FA09CC8AB54}"/>
    <hyperlink ref="C49" r:id="rId2" xr:uid="{E54E654A-D336-428B-89A5-3CDFFD981DA1}"/>
    <hyperlink ref="C50" r:id="rId3" xr:uid="{771F58D9-0BE7-4F02-BBB5-085A3B4E0061}"/>
    <hyperlink ref="C51" r:id="rId4" xr:uid="{36082032-B7DA-4895-A059-3399C93FFDD3}"/>
    <hyperlink ref="C56" r:id="rId5" xr:uid="{9B1AB7D1-EA9A-491A-B206-090180166277}"/>
    <hyperlink ref="C57" r:id="rId6" xr:uid="{120FFCC3-1A4E-41BE-A458-D4265AAE8BDF}"/>
    <hyperlink ref="C58" r:id="rId7" xr:uid="{F16BFFF1-32C3-4290-8AA3-BAE646C5AB77}"/>
    <hyperlink ref="C59" r:id="rId8" xr:uid="{74054396-5C70-4574-AD9C-5299A6778F07}"/>
    <hyperlink ref="C60" r:id="rId9" xr:uid="{2EF3BD30-2CF7-4648-8777-4FE1CF895591}"/>
    <hyperlink ref="C52" r:id="rId10" xr:uid="{7790BE75-98BB-4D63-91AF-F1AE962957DA}"/>
    <hyperlink ref="C71" r:id="rId11" display="https://clinicaltrials.gov/ct2/show/NCT02817178" xr:uid="{80A8A874-6088-4DB0-B42B-48F72D40D1EA}"/>
    <hyperlink ref="C54" r:id="rId12" xr:uid="{DD48AECD-C0D8-4742-A76B-03CE62A2A2E4}"/>
  </hyperlinks>
  <pageMargins left="0.7" right="0.7" top="0.75" bottom="0.75" header="0.3" footer="0.3"/>
  <pageSetup paperSize="9"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E55-5CE3-44C1-8B8F-0A12E766DF21}">
  <dimension ref="A1:D6"/>
  <sheetViews>
    <sheetView workbookViewId="0">
      <selection activeCell="B13" activeCellId="1" sqref="A2:D6 B13"/>
    </sheetView>
  </sheetViews>
  <sheetFormatPr baseColWidth="10" defaultRowHeight="14.4" x14ac:dyDescent="0.3"/>
  <cols>
    <col min="1" max="1" width="21" bestFit="1" customWidth="1"/>
    <col min="2" max="2" width="16.109375" bestFit="1" customWidth="1"/>
    <col min="3" max="3" width="12.88671875" bestFit="1" customWidth="1"/>
    <col min="4" max="4" width="23.44140625" bestFit="1" customWidth="1"/>
  </cols>
  <sheetData>
    <row r="1" spans="1:4" x14ac:dyDescent="0.3">
      <c r="A1" s="5" t="s">
        <v>123</v>
      </c>
      <c r="B1" s="5" t="s">
        <v>125</v>
      </c>
      <c r="C1" s="6" t="s">
        <v>124</v>
      </c>
      <c r="D1" s="6" t="s">
        <v>252</v>
      </c>
    </row>
    <row r="2" spans="1:4" x14ac:dyDescent="0.3">
      <c r="A2" t="s">
        <v>100</v>
      </c>
      <c r="B2" s="2" t="s">
        <v>97</v>
      </c>
      <c r="C2" s="2" t="s">
        <v>99</v>
      </c>
      <c r="D2" t="s">
        <v>113</v>
      </c>
    </row>
    <row r="3" spans="1:4" x14ac:dyDescent="0.3">
      <c r="A3" t="s">
        <v>98</v>
      </c>
      <c r="B3" t="s">
        <v>97</v>
      </c>
      <c r="C3" t="s">
        <v>99</v>
      </c>
      <c r="D3" s="2" t="s">
        <v>113</v>
      </c>
    </row>
    <row r="4" spans="1:4" x14ac:dyDescent="0.3">
      <c r="A4" t="s">
        <v>101</v>
      </c>
      <c r="B4" t="s">
        <v>0</v>
      </c>
      <c r="C4" t="s">
        <v>99</v>
      </c>
      <c r="D4" s="2" t="s">
        <v>113</v>
      </c>
    </row>
    <row r="5" spans="1:4" x14ac:dyDescent="0.3">
      <c r="A5" t="s">
        <v>112</v>
      </c>
      <c r="B5" t="s">
        <v>97</v>
      </c>
      <c r="C5" t="s">
        <v>99</v>
      </c>
      <c r="D5" s="2" t="s">
        <v>114</v>
      </c>
    </row>
    <row r="6" spans="1:4" x14ac:dyDescent="0.3">
      <c r="A6" t="s">
        <v>115</v>
      </c>
      <c r="B6" t="s">
        <v>116</v>
      </c>
      <c r="C6" t="s">
        <v>99</v>
      </c>
      <c r="D6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C37-F3E7-4450-906B-A9B6A761FA92}">
  <dimension ref="A1:D5"/>
  <sheetViews>
    <sheetView workbookViewId="0">
      <selection activeCell="E25" sqref="E25"/>
    </sheetView>
  </sheetViews>
  <sheetFormatPr baseColWidth="10" defaultRowHeight="14.4" x14ac:dyDescent="0.3"/>
  <cols>
    <col min="1" max="1" width="7.21875" bestFit="1" customWidth="1"/>
    <col min="2" max="2" width="12.44140625" bestFit="1" customWidth="1"/>
    <col min="3" max="3" width="9.33203125" bestFit="1" customWidth="1"/>
    <col min="4" max="4" width="7.77734375" bestFit="1" customWidth="1"/>
  </cols>
  <sheetData>
    <row r="1" spans="1:4" x14ac:dyDescent="0.3">
      <c r="A1" t="s">
        <v>277</v>
      </c>
    </row>
    <row r="2" spans="1:4" x14ac:dyDescent="0.3">
      <c r="A2" t="s">
        <v>278</v>
      </c>
      <c r="B2" t="s">
        <v>253</v>
      </c>
      <c r="C2" t="s">
        <v>279</v>
      </c>
      <c r="D2" t="s">
        <v>280</v>
      </c>
    </row>
    <row r="3" spans="1:4" x14ac:dyDescent="0.3">
      <c r="A3" t="s">
        <v>12</v>
      </c>
      <c r="B3" t="s">
        <v>59</v>
      </c>
      <c r="D3" t="s">
        <v>281</v>
      </c>
    </row>
    <row r="4" spans="1:4" x14ac:dyDescent="0.3">
      <c r="A4" t="s">
        <v>282</v>
      </c>
      <c r="B4" t="s">
        <v>10</v>
      </c>
      <c r="D4" t="s">
        <v>281</v>
      </c>
    </row>
    <row r="5" spans="1:4" x14ac:dyDescent="0.3">
      <c r="A5" t="s">
        <v>48</v>
      </c>
      <c r="B5" t="s">
        <v>36</v>
      </c>
      <c r="D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Antibodies</vt:lpstr>
      <vt:lpstr>Others</vt:lpstr>
      <vt:lpstr>Non-STAR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LALOY Emilien</dc:creator>
  <cp:lastModifiedBy>LALOY Emilien</cp:lastModifiedBy>
  <dcterms:created xsi:type="dcterms:W3CDTF">2026-08-21T08:28:40Z</dcterms:created>
  <dcterms:modified xsi:type="dcterms:W3CDTF">2026-10-28T09:31:58Z</dcterms:modified>
</cp:coreProperties>
</file>